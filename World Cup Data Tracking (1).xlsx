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B3E1BC28-C651-4153-A04F-60905170E92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aw_Data" sheetId="1" r:id="rId1"/>
    <sheet name="Game_Index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2" i="1" l="1"/>
  <c r="N131" i="1"/>
  <c r="N130" i="1"/>
  <c r="N129" i="1"/>
  <c r="N128" i="1"/>
  <c r="P3" i="2"/>
  <c r="P4" i="2"/>
  <c r="P5" i="2"/>
  <c r="P6" i="2"/>
  <c r="P7" i="2"/>
  <c r="P8" i="2"/>
  <c r="P9" i="2"/>
  <c r="P10" i="2"/>
  <c r="P11" i="2"/>
  <c r="P12" i="2"/>
  <c r="P2" i="2"/>
  <c r="N126" i="1"/>
  <c r="N125" i="1"/>
  <c r="N124" i="1"/>
  <c r="N123" i="1"/>
  <c r="N122" i="1"/>
  <c r="N120" i="1"/>
  <c r="N119" i="1"/>
  <c r="N118" i="1"/>
  <c r="N117" i="1"/>
  <c r="N116" i="1"/>
  <c r="N114" i="1"/>
  <c r="N113" i="1"/>
  <c r="N112" i="1"/>
  <c r="N111" i="1"/>
  <c r="N110" i="1"/>
  <c r="N108" i="1"/>
  <c r="N106" i="1"/>
  <c r="N105" i="1"/>
  <c r="N104" i="1"/>
  <c r="N103" i="1"/>
  <c r="N102" i="1"/>
  <c r="N100" i="1"/>
  <c r="N99" i="1"/>
  <c r="N98" i="1"/>
  <c r="N97" i="1"/>
  <c r="N96" i="1"/>
  <c r="N94" i="1"/>
  <c r="N93" i="1"/>
  <c r="N92" i="1"/>
  <c r="N91" i="1"/>
  <c r="N90" i="1"/>
  <c r="N88" i="1"/>
  <c r="N87" i="1"/>
  <c r="N86" i="1"/>
  <c r="N85" i="1"/>
  <c r="N84" i="1"/>
  <c r="N82" i="1"/>
  <c r="N81" i="1"/>
  <c r="N80" i="1"/>
  <c r="N79" i="1"/>
  <c r="N77" i="1"/>
  <c r="N76" i="1"/>
  <c r="N75" i="1"/>
  <c r="N74" i="1"/>
  <c r="N73" i="1"/>
  <c r="N71" i="1"/>
  <c r="N70" i="1"/>
  <c r="N69" i="1"/>
  <c r="N68" i="1"/>
  <c r="N66" i="1"/>
  <c r="N65" i="1"/>
  <c r="N64" i="1"/>
  <c r="N63" i="1"/>
  <c r="N62" i="1"/>
  <c r="N60" i="1"/>
  <c r="N59" i="1"/>
  <c r="N58" i="1"/>
  <c r="N57" i="1"/>
  <c r="N56" i="1"/>
  <c r="N54" i="1"/>
  <c r="N53" i="1"/>
  <c r="N52" i="1"/>
  <c r="N51" i="1"/>
  <c r="N50" i="1"/>
  <c r="N48" i="1"/>
  <c r="N47" i="1"/>
  <c r="N46" i="1"/>
  <c r="N45" i="1"/>
  <c r="N44" i="1"/>
  <c r="N42" i="1"/>
  <c r="N41" i="1"/>
  <c r="N40" i="1"/>
  <c r="N39" i="1"/>
  <c r="N38" i="1"/>
  <c r="N36" i="1"/>
  <c r="N35" i="1"/>
  <c r="N34" i="1"/>
  <c r="N33" i="1"/>
  <c r="N32" i="1"/>
  <c r="N30" i="1"/>
  <c r="N29" i="1"/>
  <c r="N28" i="1"/>
  <c r="N27" i="1"/>
  <c r="N26" i="1"/>
  <c r="N24" i="1"/>
  <c r="N23" i="1"/>
  <c r="N22" i="1"/>
  <c r="N21" i="1"/>
  <c r="N20" i="1"/>
  <c r="N18" i="1"/>
  <c r="N17" i="1"/>
  <c r="N16" i="1"/>
  <c r="N15" i="1"/>
  <c r="N14" i="1"/>
  <c r="N3" i="2"/>
  <c r="N4" i="2"/>
  <c r="N5" i="2"/>
  <c r="N6" i="2"/>
  <c r="N7" i="2"/>
  <c r="N9" i="2"/>
  <c r="N8" i="2"/>
  <c r="N11" i="2"/>
  <c r="N10" i="2"/>
  <c r="N12" i="2"/>
  <c r="N2" i="2"/>
  <c r="N3" i="1"/>
  <c r="N4" i="1"/>
  <c r="N5" i="1"/>
  <c r="N6" i="1"/>
  <c r="N9" i="1"/>
  <c r="N8" i="1"/>
  <c r="N11" i="1"/>
  <c r="N10" i="1"/>
  <c r="N12" i="1"/>
  <c r="N2" i="1"/>
</calcChain>
</file>

<file path=xl/sharedStrings.xml><?xml version="1.0" encoding="utf-8"?>
<sst xmlns="http://schemas.openxmlformats.org/spreadsheetml/2006/main" count="823" uniqueCount="95">
  <si>
    <t xml:space="preserve">game_id </t>
  </si>
  <si>
    <t>observation_data</t>
  </si>
  <si>
    <t>obersvation_time</t>
  </si>
  <si>
    <t>days_to_kickoff</t>
  </si>
  <si>
    <t>team_1</t>
  </si>
  <si>
    <t>team_2</t>
  </si>
  <si>
    <t>round</t>
  </si>
  <si>
    <t>venue</t>
  </si>
  <si>
    <t>city</t>
  </si>
  <si>
    <t>capacity</t>
  </si>
  <si>
    <t>host_nation</t>
  </si>
  <si>
    <t>t1_fifa_rank</t>
  </si>
  <si>
    <t>t2_fifa_rank</t>
  </si>
  <si>
    <t xml:space="preserve">combined_rank </t>
  </si>
  <si>
    <t>min_price</t>
  </si>
  <si>
    <t>median_price</t>
  </si>
  <si>
    <t>listings_count</t>
  </si>
  <si>
    <t>G01</t>
  </si>
  <si>
    <t>USA</t>
  </si>
  <si>
    <t>Turkey</t>
  </si>
  <si>
    <t>Group Stage</t>
  </si>
  <si>
    <t>Los Angeles Stadium</t>
  </si>
  <si>
    <t>Los Angeles</t>
  </si>
  <si>
    <t>G02</t>
  </si>
  <si>
    <t>Japan</t>
  </si>
  <si>
    <t>Sweden</t>
  </si>
  <si>
    <t>Dallas Stadium</t>
  </si>
  <si>
    <t>Dallas</t>
  </si>
  <si>
    <t>G03</t>
  </si>
  <si>
    <t>Curacao</t>
  </si>
  <si>
    <t>Ivory Coast</t>
  </si>
  <si>
    <t>Philadelphia Stadium</t>
  </si>
  <si>
    <t>Philadelphia</t>
  </si>
  <si>
    <t>G04</t>
  </si>
  <si>
    <t>France</t>
  </si>
  <si>
    <t>Norway</t>
  </si>
  <si>
    <t>Boston Stadium</t>
  </si>
  <si>
    <t>Boston</t>
  </si>
  <si>
    <t>G05</t>
  </si>
  <si>
    <t>Cape Verde</t>
  </si>
  <si>
    <t>Saudi Arabia</t>
  </si>
  <si>
    <t>Miami Stadium</t>
  </si>
  <si>
    <t>Miami</t>
  </si>
  <si>
    <t>G06</t>
  </si>
  <si>
    <t>Spain</t>
  </si>
  <si>
    <t>Uruguay</t>
  </si>
  <si>
    <t>Estadio Akron</t>
  </si>
  <si>
    <t>Guadalajara</t>
  </si>
  <si>
    <t>G07</t>
  </si>
  <si>
    <t>Mexico</t>
  </si>
  <si>
    <t>3CEFHI</t>
  </si>
  <si>
    <t>Round of 32</t>
  </si>
  <si>
    <t>Estadio Azteca</t>
  </si>
  <si>
    <t>Mexico City</t>
  </si>
  <si>
    <t>G08</t>
  </si>
  <si>
    <t>3BEFIJ</t>
  </si>
  <si>
    <t>San Francisco Bay Area Stadium</t>
  </si>
  <si>
    <t>San Francisco</t>
  </si>
  <si>
    <t>G09</t>
  </si>
  <si>
    <t>1B</t>
  </si>
  <si>
    <t>3EFGIJ</t>
  </si>
  <si>
    <t>BC Place</t>
  </si>
  <si>
    <t>Vancouver</t>
  </si>
  <si>
    <t>G10</t>
  </si>
  <si>
    <t>1J</t>
  </si>
  <si>
    <t>2H</t>
  </si>
  <si>
    <t>G11</t>
  </si>
  <si>
    <t xml:space="preserve">Winner 101 </t>
  </si>
  <si>
    <t>Winner 102</t>
  </si>
  <si>
    <t>Final</t>
  </si>
  <si>
    <t xml:space="preserve">New York New Jersey Stadium </t>
  </si>
  <si>
    <t>New York</t>
  </si>
  <si>
    <t>Argentina</t>
  </si>
  <si>
    <t>`</t>
  </si>
  <si>
    <t>Switzerland</t>
  </si>
  <si>
    <t xml:space="preserve">G01 </t>
  </si>
  <si>
    <t>Bosnia and Herzegovina</t>
  </si>
  <si>
    <t>Ecuador</t>
  </si>
  <si>
    <t>Algeria</t>
  </si>
  <si>
    <t>game_id</t>
  </si>
  <si>
    <t>date</t>
  </si>
  <si>
    <t>kickoff_time</t>
  </si>
  <si>
    <t>country</t>
  </si>
  <si>
    <t>combined_rank</t>
  </si>
  <si>
    <t>official_attentance</t>
  </si>
  <si>
    <t>fill_rate</t>
  </si>
  <si>
    <t>Houston Stadium</t>
  </si>
  <si>
    <t>Houston</t>
  </si>
  <si>
    <t>Guadalajara Stadium</t>
  </si>
  <si>
    <t xml:space="preserve">Mexico </t>
  </si>
  <si>
    <t>Mexico City Stadium</t>
  </si>
  <si>
    <t>BC Place Vancouver</t>
  </si>
  <si>
    <t>Canada</t>
  </si>
  <si>
    <t xml:space="preserve">Cape Verde </t>
  </si>
  <si>
    <t>New York New Jersey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</si>
</sst>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409]h:mm\ AM/PM;@"/>
  </numFmts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Inherit"/>
      <charset val="1"/>
    </font>
    <font>
      <sz val="9"/>
      <color rgb="FF000000"/>
      <name val="FIFASans Regular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0" fontId="1" fillId="0" borderId="0" xfId="0" applyFont="1"/>
    <xf numFmtId="0" fontId="2" fillId="0" borderId="0" xfId="0" applyFont="1" applyBorder="1"/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2"/>
  <sheetViews>
    <sheetView tabSelected="1" workbookViewId="0">
      <pane ySplit="1" topLeftCell="A110" activePane="bottomLeft" state="frozen"/>
      <selection pane="bottomLeft" activeCell="B139" sqref="B139"/>
    </sheetView>
  </sheetViews>
  <sheetFormatPr defaultRowHeight="15"/>
  <cols>
    <col min="2" max="2" width="16.140625" style="3" bestFit="1" customWidth="1"/>
    <col min="3" max="3" width="16.140625" style="4" customWidth="1"/>
    <col min="4" max="4" width="14.5703125" bestFit="1" customWidth="1"/>
    <col min="5" max="5" width="11.5703125" bestFit="1" customWidth="1"/>
    <col min="6" max="6" width="21.7109375" bestFit="1" customWidth="1"/>
    <col min="7" max="7" width="11.5703125" bestFit="1" customWidth="1"/>
    <col min="8" max="8" width="28.5703125" bestFit="1" customWidth="1"/>
    <col min="9" max="9" width="12.5703125" bestFit="1" customWidth="1"/>
    <col min="11" max="11" width="11.28515625" bestFit="1" customWidth="1"/>
    <col min="12" max="13" width="11.42578125" bestFit="1" customWidth="1"/>
    <col min="14" max="14" width="15" bestFit="1" customWidth="1"/>
    <col min="15" max="15" width="9.5703125" bestFit="1" customWidth="1"/>
    <col min="16" max="16" width="12.85546875" bestFit="1" customWidth="1"/>
    <col min="17" max="17" width="13" bestFit="1" customWidth="1"/>
    <col min="18" max="18" width="62.7109375" customWidth="1"/>
  </cols>
  <sheetData>
    <row r="1" spans="1:18">
      <c r="A1" t="s">
        <v>0</v>
      </c>
      <c r="B1" s="3" t="s">
        <v>1</v>
      </c>
      <c r="C1" s="6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>
      <c r="A2" t="s">
        <v>17</v>
      </c>
      <c r="B2" s="3">
        <v>46194</v>
      </c>
      <c r="C2" s="4">
        <v>0.58333333333333337</v>
      </c>
      <c r="D2">
        <v>4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1">
        <v>70492</v>
      </c>
      <c r="K2" s="2" t="b">
        <v>1</v>
      </c>
      <c r="L2">
        <v>17</v>
      </c>
      <c r="M2">
        <v>22</v>
      </c>
      <c r="N2">
        <f>L2+M2</f>
        <v>39</v>
      </c>
      <c r="O2">
        <v>1035</v>
      </c>
      <c r="P2">
        <v>2875</v>
      </c>
      <c r="Q2">
        <v>1324</v>
      </c>
    </row>
    <row r="3" spans="1:18">
      <c r="A3" t="s">
        <v>23</v>
      </c>
      <c r="B3" s="3">
        <v>46194</v>
      </c>
      <c r="C3" s="4">
        <v>0.58333333333333337</v>
      </c>
      <c r="D3">
        <v>4</v>
      </c>
      <c r="E3" t="s">
        <v>24</v>
      </c>
      <c r="F3" t="s">
        <v>25</v>
      </c>
      <c r="G3" t="s">
        <v>20</v>
      </c>
      <c r="H3" t="s">
        <v>26</v>
      </c>
      <c r="I3" t="s">
        <v>27</v>
      </c>
      <c r="J3" s="1">
        <v>70122</v>
      </c>
      <c r="K3" s="2" t="b">
        <v>0</v>
      </c>
      <c r="L3">
        <v>18</v>
      </c>
      <c r="M3">
        <v>38</v>
      </c>
      <c r="N3">
        <f t="shared" ref="N3:N37" si="0">L3+M3</f>
        <v>56</v>
      </c>
      <c r="O3">
        <v>748</v>
      </c>
      <c r="P3">
        <v>2243</v>
      </c>
      <c r="Q3">
        <v>433</v>
      </c>
    </row>
    <row r="4" spans="1:18">
      <c r="A4" t="s">
        <v>28</v>
      </c>
      <c r="B4" s="3">
        <v>46194</v>
      </c>
      <c r="C4" s="4">
        <v>0.58333333333333337</v>
      </c>
      <c r="D4">
        <v>4</v>
      </c>
      <c r="E4" t="s">
        <v>29</v>
      </c>
      <c r="F4" t="s">
        <v>30</v>
      </c>
      <c r="G4" t="s">
        <v>20</v>
      </c>
      <c r="H4" t="s">
        <v>31</v>
      </c>
      <c r="I4" t="s">
        <v>32</v>
      </c>
      <c r="J4" s="1">
        <v>69796</v>
      </c>
      <c r="K4" s="2" t="b">
        <v>0</v>
      </c>
      <c r="L4">
        <v>82</v>
      </c>
      <c r="M4">
        <v>33</v>
      </c>
      <c r="N4">
        <f t="shared" si="0"/>
        <v>115</v>
      </c>
      <c r="O4">
        <v>437</v>
      </c>
      <c r="P4">
        <v>834</v>
      </c>
      <c r="Q4">
        <v>575</v>
      </c>
    </row>
    <row r="5" spans="1:18">
      <c r="A5" t="s">
        <v>33</v>
      </c>
      <c r="B5" s="3">
        <v>46194</v>
      </c>
      <c r="C5" s="4">
        <v>0.58333333333333337</v>
      </c>
      <c r="D5">
        <v>5</v>
      </c>
      <c r="E5" t="s">
        <v>34</v>
      </c>
      <c r="F5" t="s">
        <v>35</v>
      </c>
      <c r="G5" t="s">
        <v>20</v>
      </c>
      <c r="H5" t="s">
        <v>36</v>
      </c>
      <c r="I5" t="s">
        <v>37</v>
      </c>
      <c r="J5" s="1">
        <v>64146</v>
      </c>
      <c r="K5" s="2" t="b">
        <v>0</v>
      </c>
      <c r="L5">
        <v>3</v>
      </c>
      <c r="M5">
        <v>31</v>
      </c>
      <c r="N5">
        <f t="shared" si="0"/>
        <v>34</v>
      </c>
      <c r="O5">
        <v>1725</v>
      </c>
      <c r="P5">
        <v>3450</v>
      </c>
      <c r="Q5">
        <v>365</v>
      </c>
    </row>
    <row r="6" spans="1:18">
      <c r="A6" t="s">
        <v>38</v>
      </c>
      <c r="B6" s="3">
        <v>46194</v>
      </c>
      <c r="C6" s="4">
        <v>0.58333333333333337</v>
      </c>
      <c r="D6">
        <v>5</v>
      </c>
      <c r="E6" t="s">
        <v>39</v>
      </c>
      <c r="F6" t="s">
        <v>40</v>
      </c>
      <c r="G6" t="s">
        <v>20</v>
      </c>
      <c r="H6" t="s">
        <v>41</v>
      </c>
      <c r="I6" t="s">
        <v>42</v>
      </c>
      <c r="J6" s="1">
        <v>64478</v>
      </c>
      <c r="K6" s="2" t="b">
        <v>0</v>
      </c>
      <c r="L6">
        <v>67</v>
      </c>
      <c r="M6">
        <v>61</v>
      </c>
      <c r="N6">
        <f t="shared" si="0"/>
        <v>128</v>
      </c>
      <c r="O6">
        <v>403</v>
      </c>
      <c r="P6">
        <v>814</v>
      </c>
      <c r="Q6">
        <v>1042</v>
      </c>
      <c r="R6" s="5"/>
    </row>
    <row r="7" spans="1:18">
      <c r="A7" t="s">
        <v>43</v>
      </c>
      <c r="B7" s="3">
        <v>46194</v>
      </c>
      <c r="C7" s="4">
        <v>0.58333333333333337</v>
      </c>
      <c r="D7">
        <v>5</v>
      </c>
      <c r="E7" t="s">
        <v>44</v>
      </c>
      <c r="F7" t="s">
        <v>45</v>
      </c>
      <c r="G7" t="s">
        <v>20</v>
      </c>
      <c r="H7" t="s">
        <v>46</v>
      </c>
      <c r="I7" t="s">
        <v>47</v>
      </c>
      <c r="J7">
        <v>49850</v>
      </c>
      <c r="K7" s="2" t="b">
        <v>0</v>
      </c>
      <c r="L7">
        <v>2</v>
      </c>
      <c r="M7">
        <v>16</v>
      </c>
      <c r="N7">
        <v>18</v>
      </c>
      <c r="O7">
        <v>2013</v>
      </c>
      <c r="P7">
        <v>4025</v>
      </c>
      <c r="Q7">
        <v>101</v>
      </c>
    </row>
    <row r="8" spans="1:18">
      <c r="A8" t="s">
        <v>48</v>
      </c>
      <c r="B8" s="3">
        <v>46194</v>
      </c>
      <c r="C8" s="4">
        <v>0.58333333333333337</v>
      </c>
      <c r="D8">
        <v>9</v>
      </c>
      <c r="E8" t="s">
        <v>49</v>
      </c>
      <c r="F8" t="s">
        <v>50</v>
      </c>
      <c r="G8" t="s">
        <v>51</v>
      </c>
      <c r="H8" t="s">
        <v>52</v>
      </c>
      <c r="I8" t="s">
        <v>53</v>
      </c>
      <c r="J8">
        <v>87523</v>
      </c>
      <c r="K8" s="2" t="b">
        <v>1</v>
      </c>
      <c r="L8">
        <v>14</v>
      </c>
      <c r="N8">
        <f>L8+M8</f>
        <v>14</v>
      </c>
      <c r="O8">
        <v>2706</v>
      </c>
      <c r="P8">
        <v>6800</v>
      </c>
      <c r="Q8">
        <v>281</v>
      </c>
    </row>
    <row r="9" spans="1:18">
      <c r="A9" t="s">
        <v>54</v>
      </c>
      <c r="B9" s="3">
        <v>46194</v>
      </c>
      <c r="C9" s="4">
        <v>0.58333333333333337</v>
      </c>
      <c r="D9">
        <v>10</v>
      </c>
      <c r="E9" t="s">
        <v>18</v>
      </c>
      <c r="F9" t="s">
        <v>55</v>
      </c>
      <c r="G9" t="s">
        <v>51</v>
      </c>
      <c r="H9" t="s">
        <v>56</v>
      </c>
      <c r="I9" t="s">
        <v>57</v>
      </c>
      <c r="J9">
        <v>68827</v>
      </c>
      <c r="K9" s="2" t="b">
        <v>1</v>
      </c>
      <c r="L9">
        <v>17</v>
      </c>
      <c r="N9">
        <f t="shared" si="0"/>
        <v>17</v>
      </c>
      <c r="O9">
        <v>2875</v>
      </c>
      <c r="P9">
        <v>6400</v>
      </c>
      <c r="Q9">
        <v>1438</v>
      </c>
    </row>
    <row r="10" spans="1:18">
      <c r="A10" t="s">
        <v>58</v>
      </c>
      <c r="B10" s="3">
        <v>46194</v>
      </c>
      <c r="C10" s="4">
        <v>0.58333333333333337</v>
      </c>
      <c r="D10">
        <v>11</v>
      </c>
      <c r="E10" t="s">
        <v>59</v>
      </c>
      <c r="F10" t="s">
        <v>60</v>
      </c>
      <c r="G10" t="s">
        <v>51</v>
      </c>
      <c r="H10" t="s">
        <v>61</v>
      </c>
      <c r="I10" t="s">
        <v>62</v>
      </c>
      <c r="J10">
        <v>54500</v>
      </c>
      <c r="K10" s="2" t="b">
        <v>0</v>
      </c>
      <c r="N10">
        <f>L10+M10</f>
        <v>0</v>
      </c>
      <c r="O10">
        <v>1035</v>
      </c>
      <c r="P10">
        <v>2054</v>
      </c>
      <c r="Q10">
        <v>647</v>
      </c>
    </row>
    <row r="11" spans="1:18">
      <c r="A11" t="s">
        <v>63</v>
      </c>
      <c r="B11" s="3">
        <v>46194</v>
      </c>
      <c r="C11" s="4">
        <v>0.58333333333333337</v>
      </c>
      <c r="D11">
        <v>12</v>
      </c>
      <c r="E11" t="s">
        <v>64</v>
      </c>
      <c r="F11" t="s">
        <v>65</v>
      </c>
      <c r="G11" t="s">
        <v>51</v>
      </c>
      <c r="H11" t="s">
        <v>41</v>
      </c>
      <c r="I11" t="s">
        <v>42</v>
      </c>
      <c r="J11">
        <v>64478</v>
      </c>
      <c r="K11" s="2" t="b">
        <v>0</v>
      </c>
      <c r="L11">
        <v>1</v>
      </c>
      <c r="N11">
        <f t="shared" si="0"/>
        <v>1</v>
      </c>
      <c r="O11">
        <v>3219</v>
      </c>
      <c r="P11">
        <v>5750</v>
      </c>
      <c r="Q11">
        <v>946</v>
      </c>
    </row>
    <row r="12" spans="1:18">
      <c r="A12" t="s">
        <v>66</v>
      </c>
      <c r="B12" s="3">
        <v>46194</v>
      </c>
      <c r="C12" s="4">
        <v>0.58333333333333337</v>
      </c>
      <c r="D12">
        <v>28</v>
      </c>
      <c r="E12" t="s">
        <v>67</v>
      </c>
      <c r="F12" t="s">
        <v>68</v>
      </c>
      <c r="G12" t="s">
        <v>69</v>
      </c>
      <c r="H12" t="s">
        <v>70</v>
      </c>
      <c r="I12" t="s">
        <v>71</v>
      </c>
      <c r="J12">
        <v>82500</v>
      </c>
      <c r="K12" s="2" t="b">
        <v>0</v>
      </c>
      <c r="N12">
        <f t="shared" si="0"/>
        <v>0</v>
      </c>
      <c r="O12">
        <v>12190</v>
      </c>
      <c r="P12">
        <v>27140</v>
      </c>
      <c r="Q12">
        <v>426</v>
      </c>
    </row>
    <row r="13" spans="1:18">
      <c r="K13" s="2" t="b">
        <v>0</v>
      </c>
    </row>
    <row r="14" spans="1:18">
      <c r="A14" t="s">
        <v>17</v>
      </c>
      <c r="B14" s="3">
        <v>46195</v>
      </c>
      <c r="C14" s="4">
        <v>0.41666666666666669</v>
      </c>
      <c r="D14">
        <v>3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J14" s="1">
        <v>70492</v>
      </c>
      <c r="K14" s="2" t="b">
        <v>1</v>
      </c>
      <c r="L14">
        <v>17</v>
      </c>
      <c r="M14">
        <v>22</v>
      </c>
      <c r="N14">
        <f>L14+M14</f>
        <v>39</v>
      </c>
      <c r="O14">
        <v>1578</v>
      </c>
      <c r="P14">
        <v>3703</v>
      </c>
      <c r="Q14">
        <v>1619</v>
      </c>
    </row>
    <row r="15" spans="1:18">
      <c r="A15" t="s">
        <v>23</v>
      </c>
      <c r="B15" s="3">
        <v>46195</v>
      </c>
      <c r="C15" s="4">
        <v>0.41666666666666669</v>
      </c>
      <c r="D15">
        <v>3</v>
      </c>
      <c r="E15" t="s">
        <v>24</v>
      </c>
      <c r="F15" t="s">
        <v>25</v>
      </c>
      <c r="G15" t="s">
        <v>20</v>
      </c>
      <c r="H15" t="s">
        <v>26</v>
      </c>
      <c r="I15" t="s">
        <v>27</v>
      </c>
      <c r="J15" s="1">
        <v>70122</v>
      </c>
      <c r="K15" s="2" t="b">
        <v>0</v>
      </c>
      <c r="L15">
        <v>18</v>
      </c>
      <c r="M15">
        <v>38</v>
      </c>
      <c r="N15">
        <f t="shared" ref="N15:N24" si="1">L15+M15</f>
        <v>56</v>
      </c>
      <c r="O15">
        <v>978</v>
      </c>
      <c r="P15">
        <v>2300</v>
      </c>
      <c r="Q15">
        <v>442</v>
      </c>
    </row>
    <row r="16" spans="1:18">
      <c r="A16" t="s">
        <v>28</v>
      </c>
      <c r="B16" s="3">
        <v>46195</v>
      </c>
      <c r="C16" s="4">
        <v>0.41666666666666669</v>
      </c>
      <c r="D16">
        <v>3</v>
      </c>
      <c r="E16" t="s">
        <v>29</v>
      </c>
      <c r="F16" t="s">
        <v>30</v>
      </c>
      <c r="G16" t="s">
        <v>20</v>
      </c>
      <c r="H16" t="s">
        <v>31</v>
      </c>
      <c r="I16" t="s">
        <v>32</v>
      </c>
      <c r="J16" s="1">
        <v>69796</v>
      </c>
      <c r="K16" s="2" t="b">
        <v>0</v>
      </c>
      <c r="L16">
        <v>82</v>
      </c>
      <c r="M16">
        <v>33</v>
      </c>
      <c r="N16">
        <f t="shared" si="1"/>
        <v>115</v>
      </c>
      <c r="O16">
        <v>449</v>
      </c>
      <c r="P16">
        <v>880</v>
      </c>
      <c r="Q16">
        <v>443</v>
      </c>
    </row>
    <row r="17" spans="1:17">
      <c r="A17" t="s">
        <v>33</v>
      </c>
      <c r="B17" s="3">
        <v>46195</v>
      </c>
      <c r="C17" s="4">
        <v>0.41666666666666669</v>
      </c>
      <c r="D17">
        <v>4</v>
      </c>
      <c r="E17" t="s">
        <v>34</v>
      </c>
      <c r="F17" t="s">
        <v>35</v>
      </c>
      <c r="G17" t="s">
        <v>20</v>
      </c>
      <c r="H17" t="s">
        <v>36</v>
      </c>
      <c r="I17" t="s">
        <v>37</v>
      </c>
      <c r="J17" s="1">
        <v>64146</v>
      </c>
      <c r="K17" s="2" t="b">
        <v>0</v>
      </c>
      <c r="L17">
        <v>3</v>
      </c>
      <c r="M17">
        <v>31</v>
      </c>
      <c r="N17">
        <f t="shared" si="1"/>
        <v>34</v>
      </c>
      <c r="O17">
        <v>1725</v>
      </c>
      <c r="P17">
        <v>3450</v>
      </c>
      <c r="Q17">
        <v>386</v>
      </c>
    </row>
    <row r="18" spans="1:17">
      <c r="A18" t="s">
        <v>38</v>
      </c>
      <c r="B18" s="3">
        <v>46195</v>
      </c>
      <c r="C18" s="4">
        <v>0.41666666666666669</v>
      </c>
      <c r="D18">
        <v>4</v>
      </c>
      <c r="E18" t="s">
        <v>39</v>
      </c>
      <c r="F18" t="s">
        <v>40</v>
      </c>
      <c r="G18" t="s">
        <v>20</v>
      </c>
      <c r="H18" t="s">
        <v>41</v>
      </c>
      <c r="I18" t="s">
        <v>42</v>
      </c>
      <c r="J18" s="1">
        <v>64478</v>
      </c>
      <c r="K18" s="2" t="b">
        <v>0</v>
      </c>
      <c r="L18">
        <v>67</v>
      </c>
      <c r="M18">
        <v>61</v>
      </c>
      <c r="N18">
        <f t="shared" si="1"/>
        <v>128</v>
      </c>
      <c r="O18">
        <v>469</v>
      </c>
      <c r="P18">
        <v>955</v>
      </c>
      <c r="Q18">
        <v>628</v>
      </c>
    </row>
    <row r="19" spans="1:17">
      <c r="A19" t="s">
        <v>43</v>
      </c>
      <c r="B19" s="3">
        <v>46195</v>
      </c>
      <c r="C19" s="4">
        <v>0.41666666666666669</v>
      </c>
      <c r="D19">
        <v>4</v>
      </c>
      <c r="E19" t="s">
        <v>44</v>
      </c>
      <c r="F19" t="s">
        <v>45</v>
      </c>
      <c r="G19" t="s">
        <v>20</v>
      </c>
      <c r="H19" t="s">
        <v>46</v>
      </c>
      <c r="I19" t="s">
        <v>47</v>
      </c>
      <c r="J19">
        <v>49850</v>
      </c>
      <c r="K19" s="2" t="b">
        <v>0</v>
      </c>
      <c r="L19">
        <v>2</v>
      </c>
      <c r="M19">
        <v>16</v>
      </c>
      <c r="N19">
        <v>18</v>
      </c>
      <c r="O19">
        <v>2070</v>
      </c>
      <c r="P19">
        <v>3903</v>
      </c>
      <c r="Q19">
        <v>44</v>
      </c>
    </row>
    <row r="20" spans="1:17">
      <c r="A20" t="s">
        <v>48</v>
      </c>
      <c r="B20" s="3">
        <v>46195</v>
      </c>
      <c r="C20" s="4">
        <v>0.41666666666666669</v>
      </c>
      <c r="D20">
        <v>8</v>
      </c>
      <c r="E20" t="s">
        <v>49</v>
      </c>
      <c r="F20" t="s">
        <v>50</v>
      </c>
      <c r="G20" t="s">
        <v>51</v>
      </c>
      <c r="H20" t="s">
        <v>52</v>
      </c>
      <c r="I20" t="s">
        <v>53</v>
      </c>
      <c r="J20">
        <v>87523</v>
      </c>
      <c r="K20" s="2" t="b">
        <v>1</v>
      </c>
      <c r="L20">
        <v>14</v>
      </c>
      <c r="N20">
        <f>L20+M20</f>
        <v>14</v>
      </c>
      <c r="O20">
        <v>3347</v>
      </c>
      <c r="P20">
        <v>6785</v>
      </c>
      <c r="Q20">
        <v>265</v>
      </c>
    </row>
    <row r="21" spans="1:17">
      <c r="A21" t="s">
        <v>54</v>
      </c>
      <c r="B21" s="3">
        <v>46195</v>
      </c>
      <c r="C21" s="4">
        <v>0.41666666666666669</v>
      </c>
      <c r="D21">
        <v>9</v>
      </c>
      <c r="E21" t="s">
        <v>18</v>
      </c>
      <c r="F21" t="s">
        <v>55</v>
      </c>
      <c r="G21" t="s">
        <v>51</v>
      </c>
      <c r="H21" t="s">
        <v>56</v>
      </c>
      <c r="I21" t="s">
        <v>57</v>
      </c>
      <c r="J21">
        <v>68827</v>
      </c>
      <c r="K21" s="2" t="b">
        <v>1</v>
      </c>
      <c r="L21">
        <v>17</v>
      </c>
      <c r="N21">
        <f t="shared" ref="N21:N24" si="2">L21+M21</f>
        <v>17</v>
      </c>
      <c r="O21">
        <v>3048</v>
      </c>
      <c r="P21">
        <v>6325</v>
      </c>
      <c r="Q21">
        <v>835</v>
      </c>
    </row>
    <row r="22" spans="1:17">
      <c r="A22" t="s">
        <v>58</v>
      </c>
      <c r="B22" s="3">
        <v>46195</v>
      </c>
      <c r="C22" s="4">
        <v>0.41666666666666669</v>
      </c>
      <c r="D22">
        <v>10</v>
      </c>
      <c r="E22" t="s">
        <v>59</v>
      </c>
      <c r="F22" t="s">
        <v>60</v>
      </c>
      <c r="G22" t="s">
        <v>51</v>
      </c>
      <c r="H22" t="s">
        <v>61</v>
      </c>
      <c r="I22" t="s">
        <v>62</v>
      </c>
      <c r="J22">
        <v>54500</v>
      </c>
      <c r="K22" s="2" t="b">
        <v>0</v>
      </c>
      <c r="N22">
        <f>L22+M22</f>
        <v>0</v>
      </c>
      <c r="O22">
        <v>1486</v>
      </c>
      <c r="P22">
        <v>3048</v>
      </c>
      <c r="Q22">
        <v>1257</v>
      </c>
    </row>
    <row r="23" spans="1:17">
      <c r="A23" t="s">
        <v>63</v>
      </c>
      <c r="B23" s="3">
        <v>46195</v>
      </c>
      <c r="C23" s="4">
        <v>0.41666666666666669</v>
      </c>
      <c r="D23">
        <v>11</v>
      </c>
      <c r="E23" t="s">
        <v>72</v>
      </c>
      <c r="F23" t="s">
        <v>65</v>
      </c>
      <c r="G23" t="s">
        <v>51</v>
      </c>
      <c r="H23" t="s">
        <v>41</v>
      </c>
      <c r="I23" t="s">
        <v>42</v>
      </c>
      <c r="J23">
        <v>64478</v>
      </c>
      <c r="K23" s="2" t="b">
        <v>0</v>
      </c>
      <c r="L23">
        <v>1</v>
      </c>
      <c r="N23">
        <f t="shared" ref="N23:N24" si="3">L23+M23</f>
        <v>1</v>
      </c>
      <c r="O23">
        <v>3163</v>
      </c>
      <c r="P23">
        <v>5750</v>
      </c>
      <c r="Q23">
        <v>1046</v>
      </c>
    </row>
    <row r="24" spans="1:17">
      <c r="A24" t="s">
        <v>66</v>
      </c>
      <c r="B24" s="3">
        <v>46195</v>
      </c>
      <c r="C24" s="4">
        <v>0.41666666666666669</v>
      </c>
      <c r="D24">
        <v>27</v>
      </c>
      <c r="E24" t="s">
        <v>67</v>
      </c>
      <c r="F24" t="s">
        <v>68</v>
      </c>
      <c r="G24" t="s">
        <v>69</v>
      </c>
      <c r="H24" t="s">
        <v>70</v>
      </c>
      <c r="I24" t="s">
        <v>71</v>
      </c>
      <c r="J24">
        <v>82500</v>
      </c>
      <c r="K24" s="2" t="b">
        <v>0</v>
      </c>
      <c r="N24">
        <f t="shared" si="3"/>
        <v>0</v>
      </c>
      <c r="O24">
        <v>17135</v>
      </c>
      <c r="P24">
        <v>39448</v>
      </c>
      <c r="Q24">
        <v>398</v>
      </c>
    </row>
    <row r="25" spans="1:17">
      <c r="K25" s="2" t="b">
        <v>0</v>
      </c>
    </row>
    <row r="26" spans="1:17">
      <c r="A26" t="s">
        <v>17</v>
      </c>
      <c r="B26" s="3">
        <v>46195</v>
      </c>
      <c r="C26" s="4">
        <v>0.58333333333333337</v>
      </c>
      <c r="D26">
        <v>3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J26" s="1">
        <v>70492</v>
      </c>
      <c r="K26" s="2" t="b">
        <v>1</v>
      </c>
      <c r="L26">
        <v>17</v>
      </c>
      <c r="M26">
        <v>22</v>
      </c>
      <c r="N26">
        <f>L26+M26</f>
        <v>39</v>
      </c>
      <c r="O26">
        <v>966</v>
      </c>
      <c r="P26">
        <v>2875</v>
      </c>
      <c r="Q26">
        <v>1205</v>
      </c>
    </row>
    <row r="27" spans="1:17">
      <c r="A27" t="s">
        <v>23</v>
      </c>
      <c r="B27" s="3">
        <v>46195</v>
      </c>
      <c r="C27" s="4">
        <v>0.58333333333333337</v>
      </c>
      <c r="D27">
        <v>3</v>
      </c>
      <c r="E27" t="s">
        <v>24</v>
      </c>
      <c r="F27" t="s">
        <v>25</v>
      </c>
      <c r="G27" t="s">
        <v>20</v>
      </c>
      <c r="H27" t="s">
        <v>26</v>
      </c>
      <c r="I27" t="s">
        <v>27</v>
      </c>
      <c r="J27" s="1">
        <v>70122</v>
      </c>
      <c r="K27" s="2" t="b">
        <v>0</v>
      </c>
      <c r="L27">
        <v>18</v>
      </c>
      <c r="M27">
        <v>38</v>
      </c>
      <c r="N27">
        <f t="shared" ref="N27:N36" si="4">L27+M27</f>
        <v>56</v>
      </c>
      <c r="O27">
        <v>677</v>
      </c>
      <c r="P27">
        <v>2300</v>
      </c>
      <c r="Q27">
        <v>419</v>
      </c>
    </row>
    <row r="28" spans="1:17">
      <c r="A28" t="s">
        <v>28</v>
      </c>
      <c r="B28" s="3">
        <v>46195</v>
      </c>
      <c r="C28" s="4">
        <v>0.58333333333333337</v>
      </c>
      <c r="D28">
        <v>3</v>
      </c>
      <c r="E28" t="s">
        <v>29</v>
      </c>
      <c r="F28" t="s">
        <v>30</v>
      </c>
      <c r="G28" t="s">
        <v>20</v>
      </c>
      <c r="H28" t="s">
        <v>31</v>
      </c>
      <c r="I28" t="s">
        <v>32</v>
      </c>
      <c r="J28" s="1">
        <v>69796</v>
      </c>
      <c r="K28" s="2" t="b">
        <v>0</v>
      </c>
      <c r="L28">
        <v>82</v>
      </c>
      <c r="M28">
        <v>33</v>
      </c>
      <c r="N28">
        <f t="shared" si="4"/>
        <v>115</v>
      </c>
      <c r="O28">
        <v>345</v>
      </c>
      <c r="P28">
        <v>863</v>
      </c>
      <c r="Q28">
        <v>477</v>
      </c>
    </row>
    <row r="29" spans="1:17">
      <c r="A29" t="s">
        <v>33</v>
      </c>
      <c r="B29" s="3">
        <v>46195</v>
      </c>
      <c r="C29" s="4">
        <v>0.58333333333333337</v>
      </c>
      <c r="D29">
        <v>4</v>
      </c>
      <c r="E29" t="s">
        <v>34</v>
      </c>
      <c r="F29" t="s">
        <v>35</v>
      </c>
      <c r="G29" t="s">
        <v>20</v>
      </c>
      <c r="H29" t="s">
        <v>36</v>
      </c>
      <c r="I29" t="s">
        <v>37</v>
      </c>
      <c r="J29" s="1">
        <v>64146</v>
      </c>
      <c r="K29" s="2" t="b">
        <v>0</v>
      </c>
      <c r="L29">
        <v>3</v>
      </c>
      <c r="M29">
        <v>31</v>
      </c>
      <c r="N29">
        <f t="shared" si="4"/>
        <v>34</v>
      </c>
      <c r="O29">
        <v>1725</v>
      </c>
      <c r="P29">
        <v>3439</v>
      </c>
      <c r="Q29">
        <v>379</v>
      </c>
    </row>
    <row r="30" spans="1:17">
      <c r="A30" t="s">
        <v>38</v>
      </c>
      <c r="B30" s="3">
        <v>46195</v>
      </c>
      <c r="C30" s="4">
        <v>0.58333333333333337</v>
      </c>
      <c r="D30">
        <v>4</v>
      </c>
      <c r="E30" t="s">
        <v>39</v>
      </c>
      <c r="F30" t="s">
        <v>40</v>
      </c>
      <c r="G30" t="s">
        <v>20</v>
      </c>
      <c r="H30" t="s">
        <v>41</v>
      </c>
      <c r="I30" t="s">
        <v>42</v>
      </c>
      <c r="J30" s="1">
        <v>64478</v>
      </c>
      <c r="K30" s="2" t="b">
        <v>0</v>
      </c>
      <c r="L30">
        <v>67</v>
      </c>
      <c r="M30">
        <v>61</v>
      </c>
      <c r="N30">
        <f t="shared" si="4"/>
        <v>128</v>
      </c>
      <c r="O30">
        <v>518</v>
      </c>
      <c r="P30">
        <v>978</v>
      </c>
      <c r="Q30">
        <v>800</v>
      </c>
    </row>
    <row r="31" spans="1:17">
      <c r="A31" t="s">
        <v>43</v>
      </c>
      <c r="B31" s="3">
        <v>46195</v>
      </c>
      <c r="C31" s="4">
        <v>0.58333333333333337</v>
      </c>
      <c r="D31">
        <v>4</v>
      </c>
      <c r="E31" t="s">
        <v>44</v>
      </c>
      <c r="F31" t="s">
        <v>45</v>
      </c>
      <c r="G31" t="s">
        <v>20</v>
      </c>
      <c r="H31" t="s">
        <v>46</v>
      </c>
      <c r="I31" t="s">
        <v>47</v>
      </c>
      <c r="J31">
        <v>49850</v>
      </c>
      <c r="K31" s="2" t="b">
        <v>0</v>
      </c>
      <c r="L31">
        <v>2</v>
      </c>
      <c r="M31">
        <v>16</v>
      </c>
      <c r="N31">
        <v>18</v>
      </c>
      <c r="O31">
        <v>2300</v>
      </c>
      <c r="P31">
        <v>4025</v>
      </c>
      <c r="Q31">
        <v>116</v>
      </c>
    </row>
    <row r="32" spans="1:17">
      <c r="A32" t="s">
        <v>48</v>
      </c>
      <c r="B32" s="3">
        <v>46195</v>
      </c>
      <c r="C32" s="4">
        <v>0.58333333333333337</v>
      </c>
      <c r="D32">
        <v>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>
        <v>87523</v>
      </c>
      <c r="K32" s="2" t="b">
        <v>1</v>
      </c>
      <c r="L32">
        <v>14</v>
      </c>
      <c r="N32">
        <f>L32+M32</f>
        <v>14</v>
      </c>
      <c r="O32">
        <v>3347</v>
      </c>
      <c r="P32">
        <v>6800</v>
      </c>
      <c r="Q32">
        <v>293</v>
      </c>
    </row>
    <row r="33" spans="1:17">
      <c r="A33" t="s">
        <v>54</v>
      </c>
      <c r="B33" s="3">
        <v>46195</v>
      </c>
      <c r="C33" s="4">
        <v>0.58333333333333337</v>
      </c>
      <c r="D33">
        <v>9</v>
      </c>
      <c r="E33" t="s">
        <v>18</v>
      </c>
      <c r="F33" t="s">
        <v>55</v>
      </c>
      <c r="G33" t="s">
        <v>51</v>
      </c>
      <c r="H33" t="s">
        <v>56</v>
      </c>
      <c r="I33" t="s">
        <v>57</v>
      </c>
      <c r="J33">
        <v>68827</v>
      </c>
      <c r="K33" s="2" t="b">
        <v>1</v>
      </c>
      <c r="L33">
        <v>17</v>
      </c>
      <c r="N33">
        <f t="shared" ref="N33:N36" si="5">L33+M33</f>
        <v>17</v>
      </c>
      <c r="O33">
        <v>2875</v>
      </c>
      <c r="P33">
        <v>6314</v>
      </c>
      <c r="Q33">
        <v>2378</v>
      </c>
    </row>
    <row r="34" spans="1:17">
      <c r="A34" t="s">
        <v>58</v>
      </c>
      <c r="B34" s="3">
        <v>46195</v>
      </c>
      <c r="C34" s="4">
        <v>0.58333333333333337</v>
      </c>
      <c r="D34">
        <v>10</v>
      </c>
      <c r="E34" t="s">
        <v>59</v>
      </c>
      <c r="F34" t="s">
        <v>60</v>
      </c>
      <c r="G34" t="s">
        <v>51</v>
      </c>
      <c r="H34" t="s">
        <v>61</v>
      </c>
      <c r="I34" t="s">
        <v>62</v>
      </c>
      <c r="J34">
        <v>54500</v>
      </c>
      <c r="K34" s="2" t="b">
        <v>0</v>
      </c>
      <c r="N34">
        <f>L34+M34</f>
        <v>0</v>
      </c>
      <c r="O34">
        <v>1486</v>
      </c>
      <c r="P34">
        <v>3105</v>
      </c>
      <c r="Q34">
        <v>1276</v>
      </c>
    </row>
    <row r="35" spans="1:17">
      <c r="A35" t="s">
        <v>63</v>
      </c>
      <c r="B35" s="3">
        <v>46195</v>
      </c>
      <c r="C35" s="4">
        <v>0.58333333333333337</v>
      </c>
      <c r="D35">
        <v>11</v>
      </c>
      <c r="E35" t="s">
        <v>72</v>
      </c>
      <c r="F35" t="s">
        <v>65</v>
      </c>
      <c r="G35" t="s">
        <v>51</v>
      </c>
      <c r="H35" t="s">
        <v>41</v>
      </c>
      <c r="I35" t="s">
        <v>42</v>
      </c>
      <c r="J35">
        <v>64478</v>
      </c>
      <c r="K35" s="2" t="b">
        <v>0</v>
      </c>
      <c r="L35">
        <v>1</v>
      </c>
      <c r="N35">
        <f t="shared" ref="N35:N36" si="6">L35+M35</f>
        <v>1</v>
      </c>
      <c r="O35">
        <v>3163</v>
      </c>
      <c r="P35">
        <v>5750</v>
      </c>
      <c r="Q35">
        <v>1071</v>
      </c>
    </row>
    <row r="36" spans="1:17">
      <c r="A36" t="s">
        <v>66</v>
      </c>
      <c r="B36" s="3">
        <v>46195</v>
      </c>
      <c r="C36" s="4">
        <v>0.58333333333333337</v>
      </c>
      <c r="D36">
        <v>27</v>
      </c>
      <c r="E36" t="s">
        <v>67</v>
      </c>
      <c r="F36" t="s">
        <v>68</v>
      </c>
      <c r="G36" t="s">
        <v>69</v>
      </c>
      <c r="H36" t="s">
        <v>70</v>
      </c>
      <c r="I36" t="s">
        <v>71</v>
      </c>
      <c r="J36">
        <v>82500</v>
      </c>
      <c r="K36" s="2" t="b">
        <v>0</v>
      </c>
      <c r="N36">
        <f t="shared" si="6"/>
        <v>0</v>
      </c>
    </row>
    <row r="37" spans="1:17">
      <c r="K37" s="2" t="b">
        <v>0</v>
      </c>
    </row>
    <row r="38" spans="1:17">
      <c r="A38" t="s">
        <v>17</v>
      </c>
      <c r="B38" s="3">
        <v>46196</v>
      </c>
      <c r="C38" s="4">
        <v>0.41666666666666669</v>
      </c>
      <c r="D38">
        <v>2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J38" s="1">
        <v>70492</v>
      </c>
      <c r="K38" s="2" t="b">
        <v>1</v>
      </c>
      <c r="L38">
        <v>17</v>
      </c>
      <c r="M38">
        <v>22</v>
      </c>
      <c r="N38">
        <f>L38+M38</f>
        <v>39</v>
      </c>
      <c r="O38">
        <v>1150</v>
      </c>
      <c r="P38">
        <v>2335</v>
      </c>
      <c r="Q38">
        <v>1087</v>
      </c>
    </row>
    <row r="39" spans="1:17">
      <c r="A39" t="s">
        <v>23</v>
      </c>
      <c r="B39" s="3">
        <v>46196</v>
      </c>
      <c r="C39" s="4">
        <v>0.41666666666666669</v>
      </c>
      <c r="D39">
        <v>2</v>
      </c>
      <c r="E39" t="s">
        <v>24</v>
      </c>
      <c r="F39" t="s">
        <v>25</v>
      </c>
      <c r="G39" t="s">
        <v>20</v>
      </c>
      <c r="H39" t="s">
        <v>26</v>
      </c>
      <c r="I39" t="s">
        <v>27</v>
      </c>
      <c r="J39" s="1">
        <v>70122</v>
      </c>
      <c r="K39" s="2" t="b">
        <v>0</v>
      </c>
      <c r="L39">
        <v>18</v>
      </c>
      <c r="M39">
        <v>38</v>
      </c>
      <c r="N39">
        <f t="shared" ref="N39:N48" si="7">L39+M39</f>
        <v>56</v>
      </c>
      <c r="O39">
        <v>1093</v>
      </c>
      <c r="P39">
        <v>2243</v>
      </c>
      <c r="Q39">
        <v>393</v>
      </c>
    </row>
    <row r="40" spans="1:17">
      <c r="A40" t="s">
        <v>28</v>
      </c>
      <c r="B40" s="3">
        <v>46196</v>
      </c>
      <c r="C40" s="4">
        <v>0.41666666666666669</v>
      </c>
      <c r="D40">
        <v>2</v>
      </c>
      <c r="E40" t="s">
        <v>29</v>
      </c>
      <c r="F40" t="s">
        <v>30</v>
      </c>
      <c r="G40" t="s">
        <v>20</v>
      </c>
      <c r="H40" t="s">
        <v>31</v>
      </c>
      <c r="I40" t="s">
        <v>32</v>
      </c>
      <c r="J40" s="1">
        <v>69796</v>
      </c>
      <c r="K40" s="2" t="b">
        <v>0</v>
      </c>
      <c r="L40">
        <v>82</v>
      </c>
      <c r="M40">
        <v>33</v>
      </c>
      <c r="N40">
        <f t="shared" si="7"/>
        <v>115</v>
      </c>
      <c r="O40">
        <v>385</v>
      </c>
      <c r="P40">
        <v>920</v>
      </c>
      <c r="Q40">
        <v>375</v>
      </c>
    </row>
    <row r="41" spans="1:17">
      <c r="A41" t="s">
        <v>33</v>
      </c>
      <c r="B41" s="3">
        <v>46196</v>
      </c>
      <c r="C41" s="4">
        <v>0.41666666666666669</v>
      </c>
      <c r="D41">
        <v>3</v>
      </c>
      <c r="E41" t="s">
        <v>34</v>
      </c>
      <c r="F41" t="s">
        <v>35</v>
      </c>
      <c r="G41" t="s">
        <v>20</v>
      </c>
      <c r="H41" t="s">
        <v>36</v>
      </c>
      <c r="I41" t="s">
        <v>37</v>
      </c>
      <c r="J41" s="1">
        <v>64146</v>
      </c>
      <c r="K41" s="2" t="b">
        <v>0</v>
      </c>
      <c r="L41">
        <v>3</v>
      </c>
      <c r="M41">
        <v>31</v>
      </c>
      <c r="N41">
        <f t="shared" si="7"/>
        <v>34</v>
      </c>
      <c r="O41">
        <v>1955</v>
      </c>
      <c r="P41">
        <v>3449</v>
      </c>
      <c r="Q41">
        <v>347</v>
      </c>
    </row>
    <row r="42" spans="1:17">
      <c r="A42" t="s">
        <v>38</v>
      </c>
      <c r="B42" s="3">
        <v>46196</v>
      </c>
      <c r="C42" s="4">
        <v>0.41666666666666669</v>
      </c>
      <c r="D42">
        <v>3</v>
      </c>
      <c r="E42" t="s">
        <v>39</v>
      </c>
      <c r="F42" t="s">
        <v>40</v>
      </c>
      <c r="G42" t="s">
        <v>20</v>
      </c>
      <c r="H42" t="s">
        <v>41</v>
      </c>
      <c r="I42" t="s">
        <v>42</v>
      </c>
      <c r="J42" s="1">
        <v>64478</v>
      </c>
      <c r="K42" s="2" t="b">
        <v>0</v>
      </c>
      <c r="L42">
        <v>67</v>
      </c>
      <c r="M42">
        <v>61</v>
      </c>
      <c r="N42">
        <f t="shared" si="7"/>
        <v>128</v>
      </c>
      <c r="O42">
        <v>489</v>
      </c>
      <c r="P42">
        <v>1035</v>
      </c>
      <c r="Q42">
        <v>694</v>
      </c>
    </row>
    <row r="43" spans="1:17">
      <c r="A43" t="s">
        <v>43</v>
      </c>
      <c r="B43" s="3">
        <v>46196</v>
      </c>
      <c r="C43" s="4">
        <v>0.41666666666666669</v>
      </c>
      <c r="D43">
        <v>3</v>
      </c>
      <c r="E43" t="s">
        <v>44</v>
      </c>
      <c r="F43" t="s">
        <v>45</v>
      </c>
      <c r="G43" t="s">
        <v>20</v>
      </c>
      <c r="H43" t="s">
        <v>46</v>
      </c>
      <c r="I43" t="s">
        <v>47</v>
      </c>
      <c r="J43">
        <v>49850</v>
      </c>
      <c r="K43" s="2" t="b">
        <v>0</v>
      </c>
      <c r="L43">
        <v>2</v>
      </c>
      <c r="M43">
        <v>16</v>
      </c>
      <c r="N43">
        <v>18</v>
      </c>
      <c r="O43">
        <v>2185</v>
      </c>
      <c r="P43">
        <v>3794</v>
      </c>
      <c r="Q43">
        <v>107</v>
      </c>
    </row>
    <row r="44" spans="1:17">
      <c r="A44" t="s">
        <v>48</v>
      </c>
      <c r="B44" s="3">
        <v>46196</v>
      </c>
      <c r="C44" s="4">
        <v>0.41666666666666669</v>
      </c>
      <c r="D44">
        <v>7</v>
      </c>
      <c r="E44" t="s">
        <v>49</v>
      </c>
      <c r="F44" t="s">
        <v>50</v>
      </c>
      <c r="G44" t="s">
        <v>51</v>
      </c>
      <c r="H44" t="s">
        <v>52</v>
      </c>
      <c r="I44" t="s">
        <v>53</v>
      </c>
      <c r="J44">
        <v>87523</v>
      </c>
      <c r="K44" s="2" t="b">
        <v>1</v>
      </c>
      <c r="L44">
        <v>14</v>
      </c>
      <c r="N44">
        <f>L44+M44</f>
        <v>14</v>
      </c>
      <c r="O44">
        <v>3565</v>
      </c>
      <c r="P44">
        <v>6209</v>
      </c>
      <c r="Q44">
        <v>67</v>
      </c>
    </row>
    <row r="45" spans="1:17">
      <c r="A45" t="s">
        <v>54</v>
      </c>
      <c r="B45" s="3">
        <v>46196</v>
      </c>
      <c r="C45" s="4">
        <v>0.41666666666666669</v>
      </c>
      <c r="D45">
        <v>8</v>
      </c>
      <c r="E45" t="s">
        <v>18</v>
      </c>
      <c r="F45" t="s">
        <v>55</v>
      </c>
      <c r="G45" t="s">
        <v>51</v>
      </c>
      <c r="H45" t="s">
        <v>56</v>
      </c>
      <c r="I45" t="s">
        <v>57</v>
      </c>
      <c r="J45">
        <v>68827</v>
      </c>
      <c r="K45" s="2" t="b">
        <v>1</v>
      </c>
      <c r="L45">
        <v>17</v>
      </c>
      <c r="N45">
        <f t="shared" ref="N45:N48" si="8">L45+M45</f>
        <v>17</v>
      </c>
      <c r="O45">
        <v>2185</v>
      </c>
      <c r="P45">
        <v>6325</v>
      </c>
      <c r="Q45">
        <v>2738</v>
      </c>
    </row>
    <row r="46" spans="1:17">
      <c r="A46" t="s">
        <v>58</v>
      </c>
      <c r="B46" s="3">
        <v>46196</v>
      </c>
      <c r="C46" s="4">
        <v>0.41666666666666669</v>
      </c>
      <c r="D46">
        <v>9</v>
      </c>
      <c r="E46" t="s">
        <v>59</v>
      </c>
      <c r="F46" t="s">
        <v>60</v>
      </c>
      <c r="G46" t="s">
        <v>51</v>
      </c>
      <c r="H46" t="s">
        <v>61</v>
      </c>
      <c r="I46" t="s">
        <v>62</v>
      </c>
      <c r="J46">
        <v>54500</v>
      </c>
      <c r="K46" s="2" t="b">
        <v>0</v>
      </c>
      <c r="N46">
        <f>L46+M46</f>
        <v>0</v>
      </c>
      <c r="O46">
        <v>1100</v>
      </c>
      <c r="P46">
        <v>2354</v>
      </c>
      <c r="Q46">
        <v>724</v>
      </c>
    </row>
    <row r="47" spans="1:17">
      <c r="A47" t="s">
        <v>63</v>
      </c>
      <c r="B47" s="3">
        <v>46196</v>
      </c>
      <c r="C47" s="4">
        <v>0.41666666666666669</v>
      </c>
      <c r="D47">
        <v>10</v>
      </c>
      <c r="E47" t="s">
        <v>72</v>
      </c>
      <c r="F47" t="s">
        <v>65</v>
      </c>
      <c r="G47" t="s">
        <v>51</v>
      </c>
      <c r="H47" t="s">
        <v>41</v>
      </c>
      <c r="I47" t="s">
        <v>42</v>
      </c>
      <c r="J47">
        <v>64478</v>
      </c>
      <c r="K47" s="2" t="b">
        <v>0</v>
      </c>
      <c r="L47">
        <v>1</v>
      </c>
      <c r="N47">
        <f t="shared" ref="N47:N48" si="9">L47+M47</f>
        <v>1</v>
      </c>
      <c r="O47">
        <v>3444</v>
      </c>
      <c r="P47">
        <v>5793</v>
      </c>
      <c r="Q47">
        <v>338</v>
      </c>
    </row>
    <row r="48" spans="1:17">
      <c r="A48" t="s">
        <v>66</v>
      </c>
      <c r="B48" s="3">
        <v>46196</v>
      </c>
      <c r="C48" s="4">
        <v>0.41666666666666669</v>
      </c>
      <c r="D48">
        <v>26</v>
      </c>
      <c r="E48" t="s">
        <v>67</v>
      </c>
      <c r="F48" t="s">
        <v>68</v>
      </c>
      <c r="G48" t="s">
        <v>69</v>
      </c>
      <c r="H48" t="s">
        <v>70</v>
      </c>
      <c r="I48" t="s">
        <v>71</v>
      </c>
      <c r="J48">
        <v>82500</v>
      </c>
      <c r="K48" s="2" t="b">
        <v>0</v>
      </c>
      <c r="N48">
        <f t="shared" si="9"/>
        <v>0</v>
      </c>
      <c r="O48">
        <v>18660</v>
      </c>
      <c r="P48">
        <v>40566</v>
      </c>
      <c r="Q48">
        <v>376</v>
      </c>
    </row>
    <row r="50" spans="1:17">
      <c r="A50" t="s">
        <v>17</v>
      </c>
      <c r="B50" s="3">
        <v>46196</v>
      </c>
      <c r="C50" s="4">
        <v>0.66666666666666663</v>
      </c>
      <c r="D50">
        <v>2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J50" s="1">
        <v>70492</v>
      </c>
      <c r="K50" s="2" t="b">
        <v>1</v>
      </c>
      <c r="L50">
        <v>17</v>
      </c>
      <c r="M50">
        <v>22</v>
      </c>
      <c r="N50">
        <f>L50+M50</f>
        <v>39</v>
      </c>
      <c r="O50">
        <v>1127</v>
      </c>
      <c r="P50">
        <v>2300</v>
      </c>
      <c r="Q50">
        <v>202</v>
      </c>
    </row>
    <row r="51" spans="1:17">
      <c r="A51" t="s">
        <v>23</v>
      </c>
      <c r="B51" s="3">
        <v>46196</v>
      </c>
      <c r="C51" s="4">
        <v>0.66666666666666663</v>
      </c>
      <c r="D51">
        <v>2</v>
      </c>
      <c r="E51" t="s">
        <v>24</v>
      </c>
      <c r="F51" t="s">
        <v>25</v>
      </c>
      <c r="G51" t="s">
        <v>20</v>
      </c>
      <c r="H51" t="s">
        <v>26</v>
      </c>
      <c r="I51" t="s">
        <v>27</v>
      </c>
      <c r="J51" s="1">
        <v>70122</v>
      </c>
      <c r="K51" s="2" t="b">
        <v>0</v>
      </c>
      <c r="L51">
        <v>18</v>
      </c>
      <c r="M51">
        <v>38</v>
      </c>
      <c r="N51">
        <f t="shared" ref="N51:N60" si="10">L51+M51</f>
        <v>56</v>
      </c>
      <c r="O51">
        <v>690</v>
      </c>
      <c r="P51">
        <v>2185</v>
      </c>
      <c r="Q51">
        <v>255</v>
      </c>
    </row>
    <row r="52" spans="1:17">
      <c r="A52" t="s">
        <v>28</v>
      </c>
      <c r="B52" s="3">
        <v>46196</v>
      </c>
      <c r="C52" s="4">
        <v>0.66666666666666663</v>
      </c>
      <c r="D52">
        <v>2</v>
      </c>
      <c r="E52" t="s">
        <v>29</v>
      </c>
      <c r="F52" t="s">
        <v>30</v>
      </c>
      <c r="G52" t="s">
        <v>20</v>
      </c>
      <c r="H52" t="s">
        <v>31</v>
      </c>
      <c r="I52" t="s">
        <v>32</v>
      </c>
      <c r="J52" s="1">
        <v>69796</v>
      </c>
      <c r="K52" s="2" t="b">
        <v>0</v>
      </c>
      <c r="L52">
        <v>82</v>
      </c>
      <c r="M52">
        <v>33</v>
      </c>
      <c r="N52">
        <f t="shared" si="10"/>
        <v>115</v>
      </c>
      <c r="O52">
        <v>627</v>
      </c>
      <c r="P52">
        <v>1298</v>
      </c>
      <c r="Q52">
        <v>363</v>
      </c>
    </row>
    <row r="53" spans="1:17">
      <c r="A53" t="s">
        <v>33</v>
      </c>
      <c r="B53" s="3">
        <v>46196</v>
      </c>
      <c r="C53" s="4">
        <v>0.66666666666666663</v>
      </c>
      <c r="D53">
        <v>3</v>
      </c>
      <c r="E53" t="s">
        <v>34</v>
      </c>
      <c r="F53" t="s">
        <v>35</v>
      </c>
      <c r="G53" t="s">
        <v>20</v>
      </c>
      <c r="H53" t="s">
        <v>36</v>
      </c>
      <c r="I53" t="s">
        <v>37</v>
      </c>
      <c r="J53" s="1">
        <v>64146</v>
      </c>
      <c r="K53" s="2" t="b">
        <v>0</v>
      </c>
      <c r="L53">
        <v>3</v>
      </c>
      <c r="M53">
        <v>31</v>
      </c>
      <c r="N53">
        <f t="shared" si="10"/>
        <v>34</v>
      </c>
      <c r="O53">
        <v>1725</v>
      </c>
      <c r="P53">
        <v>3439</v>
      </c>
      <c r="Q53">
        <v>356</v>
      </c>
    </row>
    <row r="54" spans="1:17">
      <c r="A54" t="s">
        <v>38</v>
      </c>
      <c r="B54" s="3">
        <v>46196</v>
      </c>
      <c r="C54" s="4">
        <v>0.66666666666666663</v>
      </c>
      <c r="D54">
        <v>3</v>
      </c>
      <c r="E54" t="s">
        <v>39</v>
      </c>
      <c r="F54" t="s">
        <v>40</v>
      </c>
      <c r="G54" t="s">
        <v>20</v>
      </c>
      <c r="H54" t="s">
        <v>41</v>
      </c>
      <c r="I54" t="s">
        <v>42</v>
      </c>
      <c r="J54" s="1">
        <v>64478</v>
      </c>
      <c r="K54" s="2" t="b">
        <v>0</v>
      </c>
      <c r="L54">
        <v>67</v>
      </c>
      <c r="M54">
        <v>61</v>
      </c>
      <c r="N54">
        <f t="shared" si="10"/>
        <v>128</v>
      </c>
      <c r="O54">
        <v>730</v>
      </c>
      <c r="P54">
        <v>1542</v>
      </c>
      <c r="Q54">
        <v>586</v>
      </c>
    </row>
    <row r="55" spans="1:17">
      <c r="A55" t="s">
        <v>43</v>
      </c>
      <c r="B55" s="3">
        <v>46196</v>
      </c>
      <c r="C55" s="4">
        <v>0.66666666666666663</v>
      </c>
      <c r="D55">
        <v>3</v>
      </c>
      <c r="E55" t="s">
        <v>44</v>
      </c>
      <c r="F55" t="s">
        <v>45</v>
      </c>
      <c r="G55" t="s">
        <v>20</v>
      </c>
      <c r="H55" t="s">
        <v>46</v>
      </c>
      <c r="I55" t="s">
        <v>47</v>
      </c>
      <c r="J55">
        <v>49850</v>
      </c>
      <c r="K55" s="2" t="b">
        <v>0</v>
      </c>
      <c r="L55">
        <v>2</v>
      </c>
      <c r="M55">
        <v>16</v>
      </c>
      <c r="N55">
        <v>18</v>
      </c>
      <c r="O55">
        <v>1840</v>
      </c>
      <c r="P55">
        <v>3829</v>
      </c>
      <c r="Q55">
        <v>89</v>
      </c>
    </row>
    <row r="56" spans="1:17">
      <c r="A56" t="s">
        <v>48</v>
      </c>
      <c r="B56" s="3">
        <v>46196</v>
      </c>
      <c r="C56" s="4">
        <v>0.66666666666666663</v>
      </c>
      <c r="D56">
        <v>7</v>
      </c>
      <c r="E56" t="s">
        <v>49</v>
      </c>
      <c r="F56" t="s">
        <v>50</v>
      </c>
      <c r="G56" t="s">
        <v>51</v>
      </c>
      <c r="H56" t="s">
        <v>52</v>
      </c>
      <c r="I56" t="s">
        <v>53</v>
      </c>
      <c r="J56">
        <v>87523</v>
      </c>
      <c r="K56" s="2" t="b">
        <v>1</v>
      </c>
      <c r="L56">
        <v>14</v>
      </c>
      <c r="N56">
        <f>L56+M56</f>
        <v>14</v>
      </c>
      <c r="O56">
        <v>3312</v>
      </c>
      <c r="P56">
        <v>5630</v>
      </c>
      <c r="Q56">
        <v>307</v>
      </c>
    </row>
    <row r="57" spans="1:17">
      <c r="A57" t="s">
        <v>54</v>
      </c>
      <c r="B57" s="3">
        <v>46196</v>
      </c>
      <c r="C57" s="4">
        <v>0.66666666666666663</v>
      </c>
      <c r="D57">
        <v>8</v>
      </c>
      <c r="E57" t="s">
        <v>18</v>
      </c>
      <c r="F57" t="s">
        <v>55</v>
      </c>
      <c r="G57" t="s">
        <v>51</v>
      </c>
      <c r="H57" t="s">
        <v>56</v>
      </c>
      <c r="I57" t="s">
        <v>57</v>
      </c>
      <c r="J57">
        <v>68827</v>
      </c>
      <c r="K57" s="2" t="b">
        <v>1</v>
      </c>
      <c r="L57">
        <v>17</v>
      </c>
      <c r="N57">
        <f t="shared" ref="N57:N60" si="11">L57+M57</f>
        <v>17</v>
      </c>
      <c r="O57">
        <v>2473</v>
      </c>
      <c r="P57">
        <v>5750</v>
      </c>
      <c r="Q57">
        <v>2512</v>
      </c>
    </row>
    <row r="58" spans="1:17">
      <c r="A58" t="s">
        <v>58</v>
      </c>
      <c r="B58" s="3">
        <v>46196</v>
      </c>
      <c r="C58" s="4">
        <v>0.66666666666666663</v>
      </c>
      <c r="D58">
        <v>9</v>
      </c>
      <c r="E58" t="s">
        <v>59</v>
      </c>
      <c r="F58" t="s">
        <v>60</v>
      </c>
      <c r="G58" t="s">
        <v>51</v>
      </c>
      <c r="H58" t="s">
        <v>61</v>
      </c>
      <c r="I58" t="s">
        <v>62</v>
      </c>
      <c r="J58">
        <v>54500</v>
      </c>
      <c r="K58" s="2" t="b">
        <v>0</v>
      </c>
      <c r="N58">
        <f>L58+M58</f>
        <v>0</v>
      </c>
      <c r="O58">
        <v>1493</v>
      </c>
      <c r="P58">
        <v>3280</v>
      </c>
      <c r="Q58">
        <v>1268</v>
      </c>
    </row>
    <row r="59" spans="1:17">
      <c r="A59" t="s">
        <v>63</v>
      </c>
      <c r="B59" s="3">
        <v>46196</v>
      </c>
      <c r="C59" s="4">
        <v>0.66666666666666663</v>
      </c>
      <c r="D59">
        <v>10</v>
      </c>
      <c r="E59" t="s">
        <v>72</v>
      </c>
      <c r="F59" t="s">
        <v>65</v>
      </c>
      <c r="G59" t="s">
        <v>51</v>
      </c>
      <c r="H59" t="s">
        <v>41</v>
      </c>
      <c r="I59" t="s">
        <v>42</v>
      </c>
      <c r="J59">
        <v>64478</v>
      </c>
      <c r="K59" s="2" t="b">
        <v>0</v>
      </c>
      <c r="L59">
        <v>1</v>
      </c>
      <c r="N59">
        <f t="shared" ref="N59:N60" si="12">L59+M59</f>
        <v>1</v>
      </c>
      <c r="O59">
        <v>3393</v>
      </c>
      <c r="P59">
        <v>5854</v>
      </c>
      <c r="Q59">
        <v>1164</v>
      </c>
    </row>
    <row r="60" spans="1:17">
      <c r="A60" t="s">
        <v>66</v>
      </c>
      <c r="B60" s="3">
        <v>46196</v>
      </c>
      <c r="C60" s="4">
        <v>0.66666666666666663</v>
      </c>
      <c r="D60">
        <v>26</v>
      </c>
      <c r="E60" t="s">
        <v>67</v>
      </c>
      <c r="F60" t="s">
        <v>68</v>
      </c>
      <c r="G60" t="s">
        <v>69</v>
      </c>
      <c r="H60" t="s">
        <v>70</v>
      </c>
      <c r="I60" t="s">
        <v>71</v>
      </c>
      <c r="J60">
        <v>82500</v>
      </c>
      <c r="K60" s="2" t="b">
        <v>0</v>
      </c>
      <c r="N60">
        <f t="shared" si="12"/>
        <v>0</v>
      </c>
      <c r="O60">
        <v>13225</v>
      </c>
      <c r="P60">
        <v>28750</v>
      </c>
      <c r="Q60">
        <v>407</v>
      </c>
    </row>
    <row r="61" spans="1:17">
      <c r="G61" t="s">
        <v>73</v>
      </c>
    </row>
    <row r="62" spans="1:17">
      <c r="A62" t="s">
        <v>17</v>
      </c>
      <c r="B62" s="3">
        <v>46197</v>
      </c>
      <c r="C62" s="4">
        <v>0.41666666666666669</v>
      </c>
      <c r="D62">
        <v>1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J62" s="1">
        <v>70492</v>
      </c>
      <c r="K62" s="2" t="b">
        <v>1</v>
      </c>
      <c r="L62">
        <v>17</v>
      </c>
      <c r="M62">
        <v>22</v>
      </c>
      <c r="N62">
        <f>L62+M62</f>
        <v>39</v>
      </c>
      <c r="O62">
        <v>484</v>
      </c>
      <c r="P62">
        <v>2197</v>
      </c>
      <c r="Q62">
        <v>95</v>
      </c>
    </row>
    <row r="63" spans="1:17">
      <c r="A63" t="s">
        <v>23</v>
      </c>
      <c r="B63" s="3">
        <v>46197</v>
      </c>
      <c r="C63" s="4">
        <v>0.41666666666666669</v>
      </c>
      <c r="D63">
        <v>1</v>
      </c>
      <c r="E63" t="s">
        <v>24</v>
      </c>
      <c r="F63" t="s">
        <v>25</v>
      </c>
      <c r="G63" t="s">
        <v>20</v>
      </c>
      <c r="H63" t="s">
        <v>26</v>
      </c>
      <c r="I63" t="s">
        <v>27</v>
      </c>
      <c r="J63" s="1">
        <v>70122</v>
      </c>
      <c r="K63" s="2" t="b">
        <v>0</v>
      </c>
      <c r="L63">
        <v>18</v>
      </c>
      <c r="M63">
        <v>38</v>
      </c>
      <c r="N63">
        <f t="shared" ref="N63:N66" si="13">L63+M63</f>
        <v>56</v>
      </c>
      <c r="O63">
        <v>874</v>
      </c>
      <c r="P63">
        <v>2013</v>
      </c>
      <c r="Q63">
        <v>385</v>
      </c>
    </row>
    <row r="64" spans="1:17">
      <c r="A64" t="s">
        <v>28</v>
      </c>
      <c r="B64" s="3">
        <v>46197</v>
      </c>
      <c r="C64" s="4">
        <v>0.41666666666666669</v>
      </c>
      <c r="D64">
        <v>1</v>
      </c>
      <c r="E64" t="s">
        <v>29</v>
      </c>
      <c r="F64" t="s">
        <v>30</v>
      </c>
      <c r="G64" t="s">
        <v>20</v>
      </c>
      <c r="H64" t="s">
        <v>31</v>
      </c>
      <c r="I64" t="s">
        <v>32</v>
      </c>
      <c r="J64" s="1">
        <v>69796</v>
      </c>
      <c r="K64" s="2" t="b">
        <v>0</v>
      </c>
      <c r="L64">
        <v>82</v>
      </c>
      <c r="M64">
        <v>33</v>
      </c>
      <c r="N64">
        <f t="shared" si="13"/>
        <v>115</v>
      </c>
      <c r="O64">
        <v>518</v>
      </c>
      <c r="P64">
        <v>896</v>
      </c>
      <c r="Q64">
        <v>292</v>
      </c>
    </row>
    <row r="65" spans="1:17">
      <c r="A65" t="s">
        <v>33</v>
      </c>
      <c r="B65" s="3">
        <v>46197</v>
      </c>
      <c r="C65" s="4">
        <v>0.41666666666666669</v>
      </c>
      <c r="D65">
        <v>2</v>
      </c>
      <c r="E65" t="s">
        <v>34</v>
      </c>
      <c r="F65" t="s">
        <v>35</v>
      </c>
      <c r="G65" t="s">
        <v>20</v>
      </c>
      <c r="H65" t="s">
        <v>36</v>
      </c>
      <c r="I65" t="s">
        <v>37</v>
      </c>
      <c r="J65" s="1">
        <v>64146</v>
      </c>
      <c r="K65" s="2" t="b">
        <v>0</v>
      </c>
      <c r="L65">
        <v>3</v>
      </c>
      <c r="M65">
        <v>31</v>
      </c>
      <c r="N65">
        <f t="shared" si="13"/>
        <v>34</v>
      </c>
      <c r="O65">
        <v>1725</v>
      </c>
      <c r="P65">
        <v>2993</v>
      </c>
      <c r="Q65">
        <v>253</v>
      </c>
    </row>
    <row r="66" spans="1:17">
      <c r="A66" t="s">
        <v>38</v>
      </c>
      <c r="B66" s="3">
        <v>46197</v>
      </c>
      <c r="C66" s="4">
        <v>0.41666666666666669</v>
      </c>
      <c r="D66">
        <v>2</v>
      </c>
      <c r="E66" t="s">
        <v>39</v>
      </c>
      <c r="F66" t="s">
        <v>40</v>
      </c>
      <c r="G66" t="s">
        <v>20</v>
      </c>
      <c r="H66" t="s">
        <v>41</v>
      </c>
      <c r="I66" t="s">
        <v>42</v>
      </c>
      <c r="J66" s="1">
        <v>64478</v>
      </c>
      <c r="K66" s="2" t="b">
        <v>0</v>
      </c>
      <c r="L66">
        <v>67</v>
      </c>
      <c r="M66">
        <v>61</v>
      </c>
      <c r="N66">
        <f t="shared" si="13"/>
        <v>128</v>
      </c>
      <c r="O66">
        <v>322</v>
      </c>
      <c r="P66">
        <v>1093</v>
      </c>
      <c r="Q66">
        <v>654</v>
      </c>
    </row>
    <row r="67" spans="1:17">
      <c r="A67" t="s">
        <v>43</v>
      </c>
      <c r="B67" s="3">
        <v>46197</v>
      </c>
      <c r="C67" s="4">
        <v>0.41666666666666669</v>
      </c>
      <c r="D67">
        <v>2</v>
      </c>
      <c r="E67" t="s">
        <v>44</v>
      </c>
      <c r="F67" t="s">
        <v>45</v>
      </c>
      <c r="G67" t="s">
        <v>20</v>
      </c>
      <c r="H67" t="s">
        <v>46</v>
      </c>
      <c r="I67" t="s">
        <v>47</v>
      </c>
      <c r="J67">
        <v>49850</v>
      </c>
      <c r="K67" s="2" t="b">
        <v>0</v>
      </c>
      <c r="L67">
        <v>2</v>
      </c>
      <c r="M67">
        <v>16</v>
      </c>
      <c r="N67">
        <v>18</v>
      </c>
      <c r="O67">
        <v>2560</v>
      </c>
      <c r="P67">
        <v>3870</v>
      </c>
      <c r="Q67">
        <v>91</v>
      </c>
    </row>
    <row r="68" spans="1:17">
      <c r="A68" t="s">
        <v>48</v>
      </c>
      <c r="B68" s="3">
        <v>46197</v>
      </c>
      <c r="C68" s="4">
        <v>0.41666666666666669</v>
      </c>
      <c r="D68">
        <v>6</v>
      </c>
      <c r="E68" t="s">
        <v>49</v>
      </c>
      <c r="F68" t="s">
        <v>50</v>
      </c>
      <c r="G68" t="s">
        <v>51</v>
      </c>
      <c r="H68" t="s">
        <v>52</v>
      </c>
      <c r="I68" t="s">
        <v>53</v>
      </c>
      <c r="J68">
        <v>87523</v>
      </c>
      <c r="K68" s="2" t="b">
        <v>1</v>
      </c>
      <c r="L68">
        <v>14</v>
      </c>
      <c r="N68">
        <f>L68+M68</f>
        <v>14</v>
      </c>
      <c r="O68">
        <v>3318</v>
      </c>
      <c r="P68">
        <v>5750</v>
      </c>
      <c r="Q68" s="7">
        <v>232</v>
      </c>
    </row>
    <row r="69" spans="1:17">
      <c r="A69" t="s">
        <v>54</v>
      </c>
      <c r="B69" s="3">
        <v>46197</v>
      </c>
      <c r="C69" s="4">
        <v>0.41666666666666669</v>
      </c>
      <c r="D69">
        <v>7</v>
      </c>
      <c r="E69" t="s">
        <v>18</v>
      </c>
      <c r="F69" t="s">
        <v>55</v>
      </c>
      <c r="G69" t="s">
        <v>51</v>
      </c>
      <c r="H69" t="s">
        <v>56</v>
      </c>
      <c r="I69" t="s">
        <v>57</v>
      </c>
      <c r="J69">
        <v>68827</v>
      </c>
      <c r="K69" s="2" t="b">
        <v>1</v>
      </c>
      <c r="L69">
        <v>17</v>
      </c>
      <c r="N69">
        <f t="shared" ref="N69" si="14">L69+M69</f>
        <v>17</v>
      </c>
      <c r="O69">
        <v>2254</v>
      </c>
      <c r="P69">
        <v>5951</v>
      </c>
      <c r="Q69">
        <v>779</v>
      </c>
    </row>
    <row r="70" spans="1:17">
      <c r="A70" t="s">
        <v>58</v>
      </c>
      <c r="B70" s="3">
        <v>46197</v>
      </c>
      <c r="C70" s="4">
        <v>0.41666666666666669</v>
      </c>
      <c r="D70">
        <v>8</v>
      </c>
      <c r="E70" t="s">
        <v>59</v>
      </c>
      <c r="F70" t="s">
        <v>60</v>
      </c>
      <c r="G70" t="s">
        <v>51</v>
      </c>
      <c r="H70" t="s">
        <v>61</v>
      </c>
      <c r="I70" t="s">
        <v>62</v>
      </c>
      <c r="J70">
        <v>54500</v>
      </c>
      <c r="K70" s="2" t="b">
        <v>0</v>
      </c>
      <c r="N70">
        <f>L70+M70</f>
        <v>0</v>
      </c>
      <c r="O70">
        <v>1053</v>
      </c>
      <c r="P70">
        <v>2438</v>
      </c>
      <c r="Q70">
        <v>1142</v>
      </c>
    </row>
    <row r="71" spans="1:17">
      <c r="A71" t="s">
        <v>63</v>
      </c>
      <c r="B71" s="3">
        <v>46197</v>
      </c>
      <c r="C71" s="4">
        <v>0.41666666666666669</v>
      </c>
      <c r="D71">
        <v>9</v>
      </c>
      <c r="E71" t="s">
        <v>72</v>
      </c>
      <c r="F71" t="s">
        <v>65</v>
      </c>
      <c r="G71" t="s">
        <v>51</v>
      </c>
      <c r="H71" t="s">
        <v>41</v>
      </c>
      <c r="I71" t="s">
        <v>42</v>
      </c>
      <c r="J71">
        <v>64478</v>
      </c>
      <c r="K71" s="2" t="b">
        <v>0</v>
      </c>
      <c r="L71">
        <v>1</v>
      </c>
      <c r="N71">
        <f t="shared" ref="N71" si="15">L71+M71</f>
        <v>1</v>
      </c>
      <c r="O71">
        <v>3450</v>
      </c>
      <c r="P71">
        <v>5865</v>
      </c>
      <c r="Q71">
        <v>1172</v>
      </c>
    </row>
    <row r="73" spans="1:17">
      <c r="A73" t="s">
        <v>17</v>
      </c>
      <c r="B73" s="3">
        <v>46197</v>
      </c>
      <c r="C73" s="4">
        <v>0.91666666666666663</v>
      </c>
      <c r="D73">
        <v>1</v>
      </c>
      <c r="E73" t="s">
        <v>18</v>
      </c>
      <c r="F73" t="s">
        <v>19</v>
      </c>
      <c r="G73" t="s">
        <v>20</v>
      </c>
      <c r="H73" t="s">
        <v>21</v>
      </c>
      <c r="I73" t="s">
        <v>22</v>
      </c>
      <c r="J73" s="1">
        <v>70492</v>
      </c>
      <c r="K73" s="2" t="b">
        <v>1</v>
      </c>
      <c r="L73">
        <v>17</v>
      </c>
      <c r="M73">
        <v>22</v>
      </c>
      <c r="N73">
        <f>L73+M73</f>
        <v>39</v>
      </c>
      <c r="O73">
        <v>920</v>
      </c>
      <c r="P73">
        <v>2070</v>
      </c>
      <c r="Q73">
        <v>388</v>
      </c>
    </row>
    <row r="74" spans="1:17">
      <c r="A74" t="s">
        <v>23</v>
      </c>
      <c r="B74" s="3">
        <v>46197</v>
      </c>
      <c r="C74" s="4">
        <v>0.91666666666666663</v>
      </c>
      <c r="D74">
        <v>1</v>
      </c>
      <c r="E74" t="s">
        <v>24</v>
      </c>
      <c r="F74" t="s">
        <v>25</v>
      </c>
      <c r="G74" t="s">
        <v>20</v>
      </c>
      <c r="H74" t="s">
        <v>26</v>
      </c>
      <c r="I74" t="s">
        <v>27</v>
      </c>
      <c r="J74" s="1">
        <v>70122</v>
      </c>
      <c r="K74" s="2" t="b">
        <v>0</v>
      </c>
      <c r="L74">
        <v>18</v>
      </c>
      <c r="M74">
        <v>38</v>
      </c>
      <c r="N74">
        <f t="shared" ref="N74:N77" si="16">L74+M74</f>
        <v>56</v>
      </c>
      <c r="O74">
        <v>920</v>
      </c>
      <c r="P74">
        <v>1840</v>
      </c>
      <c r="Q74">
        <v>271</v>
      </c>
    </row>
    <row r="75" spans="1:17">
      <c r="A75" t="s">
        <v>28</v>
      </c>
      <c r="B75" s="3">
        <v>46197</v>
      </c>
      <c r="C75" s="4">
        <v>0.91666666666666663</v>
      </c>
      <c r="D75">
        <v>1</v>
      </c>
      <c r="E75" t="s">
        <v>29</v>
      </c>
      <c r="F75" t="s">
        <v>30</v>
      </c>
      <c r="G75" t="s">
        <v>20</v>
      </c>
      <c r="H75" t="s">
        <v>31</v>
      </c>
      <c r="I75" t="s">
        <v>32</v>
      </c>
      <c r="J75" s="1">
        <v>69796</v>
      </c>
      <c r="K75" s="2" t="b">
        <v>0</v>
      </c>
      <c r="L75">
        <v>82</v>
      </c>
      <c r="M75">
        <v>33</v>
      </c>
      <c r="N75">
        <f t="shared" si="16"/>
        <v>115</v>
      </c>
      <c r="O75">
        <v>391</v>
      </c>
      <c r="P75">
        <v>805</v>
      </c>
      <c r="Q75">
        <v>204</v>
      </c>
    </row>
    <row r="76" spans="1:17">
      <c r="A76" t="s">
        <v>33</v>
      </c>
      <c r="B76" s="3">
        <v>46197</v>
      </c>
      <c r="C76" s="4">
        <v>0.91666666666666663</v>
      </c>
      <c r="D76">
        <v>2</v>
      </c>
      <c r="E76" t="s">
        <v>34</v>
      </c>
      <c r="F76" t="s">
        <v>35</v>
      </c>
      <c r="G76" t="s">
        <v>20</v>
      </c>
      <c r="H76" t="s">
        <v>36</v>
      </c>
      <c r="I76" t="s">
        <v>37</v>
      </c>
      <c r="J76" s="1">
        <v>64146</v>
      </c>
      <c r="K76" s="2" t="b">
        <v>0</v>
      </c>
      <c r="L76">
        <v>3</v>
      </c>
      <c r="M76">
        <v>31</v>
      </c>
      <c r="N76">
        <f t="shared" si="16"/>
        <v>34</v>
      </c>
      <c r="O76">
        <v>2202</v>
      </c>
      <c r="P76">
        <v>4078</v>
      </c>
      <c r="Q76">
        <v>306</v>
      </c>
    </row>
    <row r="77" spans="1:17">
      <c r="A77" t="s">
        <v>38</v>
      </c>
      <c r="B77" s="3">
        <v>46197</v>
      </c>
      <c r="C77" s="4">
        <v>0.91666666666666663</v>
      </c>
      <c r="D77">
        <v>2</v>
      </c>
      <c r="E77" t="s">
        <v>39</v>
      </c>
      <c r="F77" t="s">
        <v>40</v>
      </c>
      <c r="G77" t="s">
        <v>20</v>
      </c>
      <c r="H77" t="s">
        <v>41</v>
      </c>
      <c r="I77" t="s">
        <v>42</v>
      </c>
      <c r="J77" s="1">
        <v>64478</v>
      </c>
      <c r="K77" s="2" t="b">
        <v>0</v>
      </c>
      <c r="L77">
        <v>67</v>
      </c>
      <c r="M77">
        <v>61</v>
      </c>
      <c r="N77">
        <f t="shared" si="16"/>
        <v>128</v>
      </c>
      <c r="O77">
        <v>431</v>
      </c>
      <c r="P77">
        <v>1035</v>
      </c>
      <c r="Q77">
        <v>645</v>
      </c>
    </row>
    <row r="78" spans="1:17">
      <c r="A78" t="s">
        <v>43</v>
      </c>
      <c r="B78" s="3">
        <v>46197</v>
      </c>
      <c r="C78" s="4">
        <v>0.91666666666666663</v>
      </c>
      <c r="D78">
        <v>2</v>
      </c>
      <c r="E78" t="s">
        <v>44</v>
      </c>
      <c r="F78" t="s">
        <v>45</v>
      </c>
      <c r="G78" t="s">
        <v>20</v>
      </c>
      <c r="H78" t="s">
        <v>46</v>
      </c>
      <c r="I78" t="s">
        <v>47</v>
      </c>
      <c r="J78">
        <v>49850</v>
      </c>
      <c r="K78" s="2" t="b">
        <v>0</v>
      </c>
      <c r="L78">
        <v>2</v>
      </c>
      <c r="M78">
        <v>16</v>
      </c>
      <c r="N78">
        <v>18</v>
      </c>
      <c r="O78">
        <v>2070</v>
      </c>
      <c r="P78">
        <v>3766</v>
      </c>
      <c r="Q78">
        <v>68</v>
      </c>
    </row>
    <row r="79" spans="1:17">
      <c r="A79" t="s">
        <v>48</v>
      </c>
      <c r="B79" s="3">
        <v>46197</v>
      </c>
      <c r="C79" s="4">
        <v>0.91666666666666663</v>
      </c>
      <c r="D79">
        <v>6</v>
      </c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>
        <v>87523</v>
      </c>
      <c r="K79" s="2" t="b">
        <v>1</v>
      </c>
      <c r="L79">
        <v>14</v>
      </c>
      <c r="N79">
        <f>L79+M79</f>
        <v>14</v>
      </c>
      <c r="O79">
        <v>3621</v>
      </c>
      <c r="P79">
        <v>8138</v>
      </c>
      <c r="Q79">
        <v>360</v>
      </c>
    </row>
    <row r="80" spans="1:17">
      <c r="A80" t="s">
        <v>54</v>
      </c>
      <c r="B80" s="3">
        <v>46197</v>
      </c>
      <c r="C80" s="4">
        <v>0.91666666666666663</v>
      </c>
      <c r="D80">
        <v>7</v>
      </c>
      <c r="E80" t="s">
        <v>18</v>
      </c>
      <c r="F80" t="s">
        <v>55</v>
      </c>
      <c r="G80" t="s">
        <v>51</v>
      </c>
      <c r="H80" t="s">
        <v>56</v>
      </c>
      <c r="I80" t="s">
        <v>57</v>
      </c>
      <c r="J80">
        <v>68827</v>
      </c>
      <c r="K80" s="2" t="b">
        <v>1</v>
      </c>
      <c r="L80">
        <v>17</v>
      </c>
      <c r="N80">
        <f t="shared" ref="N80" si="17">L80+M80</f>
        <v>17</v>
      </c>
      <c r="O80">
        <v>2185</v>
      </c>
      <c r="P80">
        <v>5750</v>
      </c>
      <c r="Q80">
        <v>3169</v>
      </c>
    </row>
    <row r="81" spans="1:18">
      <c r="A81" t="s">
        <v>58</v>
      </c>
      <c r="B81" s="3">
        <v>46197</v>
      </c>
      <c r="C81" s="4">
        <v>0.91666666666666663</v>
      </c>
      <c r="D81">
        <v>8</v>
      </c>
      <c r="E81" t="s">
        <v>74</v>
      </c>
      <c r="F81" t="s">
        <v>60</v>
      </c>
      <c r="G81" t="s">
        <v>51</v>
      </c>
      <c r="H81" t="s">
        <v>61</v>
      </c>
      <c r="I81" t="s">
        <v>62</v>
      </c>
      <c r="J81">
        <v>54500</v>
      </c>
      <c r="K81" s="2" t="b">
        <v>0</v>
      </c>
      <c r="L81">
        <v>19</v>
      </c>
      <c r="N81">
        <f>L81+M81</f>
        <v>19</v>
      </c>
      <c r="O81">
        <v>345</v>
      </c>
      <c r="P81">
        <v>2750</v>
      </c>
      <c r="Q81">
        <v>196</v>
      </c>
      <c r="R81" s="5"/>
    </row>
    <row r="82" spans="1:18">
      <c r="A82" t="s">
        <v>63</v>
      </c>
      <c r="B82" s="3">
        <v>46197</v>
      </c>
      <c r="C82" s="4">
        <v>0.91666666666666663</v>
      </c>
      <c r="D82">
        <v>9</v>
      </c>
      <c r="E82" t="s">
        <v>72</v>
      </c>
      <c r="F82" t="s">
        <v>65</v>
      </c>
      <c r="G82" t="s">
        <v>51</v>
      </c>
      <c r="H82" t="s">
        <v>41</v>
      </c>
      <c r="I82" t="s">
        <v>42</v>
      </c>
      <c r="J82">
        <v>64478</v>
      </c>
      <c r="K82" s="2" t="b">
        <v>0</v>
      </c>
      <c r="L82">
        <v>1</v>
      </c>
      <c r="N82">
        <f t="shared" ref="N82" si="18">L82+M82</f>
        <v>1</v>
      </c>
      <c r="O82">
        <v>3450</v>
      </c>
      <c r="P82">
        <v>5808</v>
      </c>
      <c r="Q82">
        <v>1227</v>
      </c>
    </row>
    <row r="84" spans="1:18">
      <c r="A84" t="s">
        <v>17</v>
      </c>
      <c r="B84" s="3">
        <v>46198</v>
      </c>
      <c r="C84" s="4">
        <v>0.41666666666666669</v>
      </c>
      <c r="D84">
        <v>0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J84" s="1">
        <v>70492</v>
      </c>
      <c r="K84" s="2" t="b">
        <v>1</v>
      </c>
      <c r="L84">
        <v>17</v>
      </c>
      <c r="M84">
        <v>22</v>
      </c>
      <c r="N84">
        <f>L84+M84</f>
        <v>39</v>
      </c>
      <c r="O84">
        <v>805</v>
      </c>
      <c r="P84">
        <v>1912</v>
      </c>
      <c r="Q84">
        <v>366</v>
      </c>
    </row>
    <row r="85" spans="1:18">
      <c r="A85" t="s">
        <v>23</v>
      </c>
      <c r="B85" s="3">
        <v>46198</v>
      </c>
      <c r="C85" s="4">
        <v>0.41666666666666669</v>
      </c>
      <c r="D85">
        <v>0</v>
      </c>
      <c r="E85" t="s">
        <v>24</v>
      </c>
      <c r="F85" t="s">
        <v>25</v>
      </c>
      <c r="G85" t="s">
        <v>20</v>
      </c>
      <c r="H85" t="s">
        <v>26</v>
      </c>
      <c r="I85" t="s">
        <v>27</v>
      </c>
      <c r="J85" s="1">
        <v>70122</v>
      </c>
      <c r="K85" s="2" t="b">
        <v>0</v>
      </c>
      <c r="L85">
        <v>18</v>
      </c>
      <c r="M85">
        <v>38</v>
      </c>
      <c r="N85">
        <f t="shared" ref="N85:N94" si="19">L85+M85</f>
        <v>56</v>
      </c>
      <c r="O85">
        <v>805</v>
      </c>
      <c r="P85">
        <v>1898</v>
      </c>
      <c r="Q85">
        <v>127</v>
      </c>
    </row>
    <row r="86" spans="1:18">
      <c r="A86" t="s">
        <v>28</v>
      </c>
      <c r="B86" s="3">
        <v>46198</v>
      </c>
      <c r="C86" s="4">
        <v>0.41666666666666669</v>
      </c>
      <c r="D86">
        <v>0</v>
      </c>
      <c r="E86" t="s">
        <v>29</v>
      </c>
      <c r="F86" t="s">
        <v>30</v>
      </c>
      <c r="G86" t="s">
        <v>20</v>
      </c>
      <c r="H86" t="s">
        <v>31</v>
      </c>
      <c r="I86" t="s">
        <v>32</v>
      </c>
      <c r="J86" s="1">
        <v>69796</v>
      </c>
      <c r="K86" s="2" t="b">
        <v>0</v>
      </c>
      <c r="L86">
        <v>82</v>
      </c>
      <c r="M86">
        <v>33</v>
      </c>
      <c r="N86">
        <f t="shared" si="19"/>
        <v>115</v>
      </c>
      <c r="O86">
        <v>403</v>
      </c>
      <c r="P86">
        <v>690</v>
      </c>
      <c r="Q86">
        <v>117</v>
      </c>
    </row>
    <row r="87" spans="1:18">
      <c r="A87" t="s">
        <v>33</v>
      </c>
      <c r="B87" s="3">
        <v>46198</v>
      </c>
      <c r="C87" s="4">
        <v>0.41666666666666669</v>
      </c>
      <c r="D87">
        <v>1</v>
      </c>
      <c r="E87" t="s">
        <v>34</v>
      </c>
      <c r="F87" t="s">
        <v>35</v>
      </c>
      <c r="G87" t="s">
        <v>20</v>
      </c>
      <c r="H87" t="s">
        <v>36</v>
      </c>
      <c r="I87" t="s">
        <v>37</v>
      </c>
      <c r="J87" s="1">
        <v>64146</v>
      </c>
      <c r="K87" s="2" t="b">
        <v>0</v>
      </c>
      <c r="L87">
        <v>3</v>
      </c>
      <c r="M87">
        <v>31</v>
      </c>
      <c r="N87">
        <f t="shared" si="19"/>
        <v>34</v>
      </c>
      <c r="O87">
        <v>1349</v>
      </c>
      <c r="P87">
        <v>3090</v>
      </c>
      <c r="Q87">
        <v>33</v>
      </c>
    </row>
    <row r="88" spans="1:18">
      <c r="A88" t="s">
        <v>38</v>
      </c>
      <c r="B88" s="3">
        <v>46198</v>
      </c>
      <c r="C88" s="4">
        <v>0.41666666666666669</v>
      </c>
      <c r="D88">
        <v>1</v>
      </c>
      <c r="E88" t="s">
        <v>39</v>
      </c>
      <c r="F88" t="s">
        <v>40</v>
      </c>
      <c r="G88" t="s">
        <v>20</v>
      </c>
      <c r="H88" t="s">
        <v>41</v>
      </c>
      <c r="I88" t="s">
        <v>42</v>
      </c>
      <c r="J88" s="1">
        <v>64478</v>
      </c>
      <c r="K88" s="2" t="b">
        <v>0</v>
      </c>
      <c r="L88">
        <v>67</v>
      </c>
      <c r="M88">
        <v>61</v>
      </c>
      <c r="N88">
        <f t="shared" si="19"/>
        <v>128</v>
      </c>
      <c r="O88">
        <v>471</v>
      </c>
      <c r="P88">
        <v>1006</v>
      </c>
      <c r="Q88">
        <v>192</v>
      </c>
    </row>
    <row r="89" spans="1:18">
      <c r="A89" t="s">
        <v>43</v>
      </c>
      <c r="B89" s="3">
        <v>46198</v>
      </c>
      <c r="C89" s="4">
        <v>0.41666666666666669</v>
      </c>
      <c r="D89">
        <v>1</v>
      </c>
      <c r="E89" t="s">
        <v>44</v>
      </c>
      <c r="F89" t="s">
        <v>45</v>
      </c>
      <c r="G89" t="s">
        <v>20</v>
      </c>
      <c r="H89" t="s">
        <v>46</v>
      </c>
      <c r="I89" t="s">
        <v>47</v>
      </c>
      <c r="J89">
        <v>49850</v>
      </c>
      <c r="K89" s="2" t="b">
        <v>0</v>
      </c>
      <c r="L89">
        <v>2</v>
      </c>
      <c r="M89">
        <v>16</v>
      </c>
      <c r="N89">
        <v>18</v>
      </c>
      <c r="O89">
        <v>2243</v>
      </c>
      <c r="P89">
        <v>3094</v>
      </c>
      <c r="Q89">
        <v>66</v>
      </c>
    </row>
    <row r="90" spans="1:18">
      <c r="A90" t="s">
        <v>48</v>
      </c>
      <c r="B90" s="3">
        <v>46198</v>
      </c>
      <c r="C90" s="4">
        <v>0.41666666666666669</v>
      </c>
      <c r="D90">
        <v>5</v>
      </c>
      <c r="E90" t="s">
        <v>49</v>
      </c>
      <c r="F90" t="s">
        <v>50</v>
      </c>
      <c r="G90" t="s">
        <v>51</v>
      </c>
      <c r="H90" t="s">
        <v>52</v>
      </c>
      <c r="I90" t="s">
        <v>53</v>
      </c>
      <c r="J90">
        <v>87523</v>
      </c>
      <c r="K90" s="2" t="b">
        <v>1</v>
      </c>
      <c r="L90">
        <v>14</v>
      </c>
      <c r="N90">
        <f>L90+M90</f>
        <v>14</v>
      </c>
      <c r="O90">
        <v>3450</v>
      </c>
      <c r="P90">
        <v>5520</v>
      </c>
      <c r="Q90">
        <v>140</v>
      </c>
    </row>
    <row r="91" spans="1:18">
      <c r="A91" t="s">
        <v>54</v>
      </c>
      <c r="B91" s="3">
        <v>46198</v>
      </c>
      <c r="C91" s="4">
        <v>0.41666666666666669</v>
      </c>
      <c r="D91">
        <v>6</v>
      </c>
      <c r="E91" t="s">
        <v>18</v>
      </c>
      <c r="F91" t="s">
        <v>55</v>
      </c>
      <c r="G91" t="s">
        <v>51</v>
      </c>
      <c r="H91" t="s">
        <v>56</v>
      </c>
      <c r="I91" t="s">
        <v>57</v>
      </c>
      <c r="J91">
        <v>68827</v>
      </c>
      <c r="K91" s="2" t="b">
        <v>1</v>
      </c>
      <c r="L91">
        <v>17</v>
      </c>
      <c r="N91">
        <f t="shared" ref="N91:N94" si="20">L91+M91</f>
        <v>17</v>
      </c>
      <c r="O91">
        <v>2070</v>
      </c>
      <c r="P91">
        <v>4025</v>
      </c>
      <c r="Q91">
        <v>1140</v>
      </c>
    </row>
    <row r="92" spans="1:18">
      <c r="A92" t="s">
        <v>58</v>
      </c>
      <c r="B92" s="3">
        <v>46198</v>
      </c>
      <c r="C92" s="4">
        <v>0.41666666666666669</v>
      </c>
      <c r="D92">
        <v>7</v>
      </c>
      <c r="E92" t="s">
        <v>74</v>
      </c>
      <c r="F92" t="s">
        <v>60</v>
      </c>
      <c r="G92" t="s">
        <v>51</v>
      </c>
      <c r="H92" t="s">
        <v>61</v>
      </c>
      <c r="I92" t="s">
        <v>62</v>
      </c>
      <c r="J92">
        <v>54500</v>
      </c>
      <c r="K92" s="2" t="b">
        <v>0</v>
      </c>
      <c r="L92">
        <v>19</v>
      </c>
      <c r="N92">
        <f>L92+M92</f>
        <v>19</v>
      </c>
      <c r="O92">
        <v>632</v>
      </c>
      <c r="P92">
        <v>1725</v>
      </c>
      <c r="Q92">
        <v>1394</v>
      </c>
    </row>
    <row r="93" spans="1:18">
      <c r="A93" t="s">
        <v>63</v>
      </c>
      <c r="B93" s="3">
        <v>46198</v>
      </c>
      <c r="C93" s="4">
        <v>0.41666666666666669</v>
      </c>
      <c r="D93">
        <v>8</v>
      </c>
      <c r="E93" t="s">
        <v>72</v>
      </c>
      <c r="F93" t="s">
        <v>65</v>
      </c>
      <c r="G93" t="s">
        <v>51</v>
      </c>
      <c r="H93" t="s">
        <v>41</v>
      </c>
      <c r="I93" t="s">
        <v>42</v>
      </c>
      <c r="J93">
        <v>64478</v>
      </c>
      <c r="K93" s="2" t="b">
        <v>0</v>
      </c>
      <c r="L93">
        <v>1</v>
      </c>
      <c r="N93">
        <f t="shared" ref="N93:N94" si="21">L93+M93</f>
        <v>1</v>
      </c>
      <c r="O93">
        <v>3518</v>
      </c>
      <c r="P93">
        <v>5836</v>
      </c>
      <c r="Q93">
        <v>400</v>
      </c>
    </row>
    <row r="94" spans="1:18">
      <c r="A94" t="s">
        <v>66</v>
      </c>
      <c r="B94" s="3">
        <v>46198</v>
      </c>
      <c r="C94" s="4">
        <v>0.41666666666666669</v>
      </c>
      <c r="D94">
        <v>24</v>
      </c>
      <c r="E94" t="s">
        <v>67</v>
      </c>
      <c r="F94" t="s">
        <v>68</v>
      </c>
      <c r="G94" t="s">
        <v>69</v>
      </c>
      <c r="H94" t="s">
        <v>70</v>
      </c>
      <c r="I94" t="s">
        <v>71</v>
      </c>
      <c r="J94">
        <v>82500</v>
      </c>
      <c r="K94" s="2" t="b">
        <v>0</v>
      </c>
      <c r="N94">
        <f t="shared" si="21"/>
        <v>0</v>
      </c>
      <c r="O94">
        <v>15813</v>
      </c>
      <c r="P94">
        <v>28750</v>
      </c>
      <c r="Q94">
        <v>143</v>
      </c>
    </row>
    <row r="96" spans="1:18">
      <c r="A96" t="s">
        <v>75</v>
      </c>
      <c r="B96" s="3">
        <v>46198</v>
      </c>
      <c r="C96" s="4">
        <v>0.95833333333333337</v>
      </c>
      <c r="D96">
        <v>0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J96" s="1">
        <v>70492</v>
      </c>
      <c r="K96" s="2" t="b">
        <v>1</v>
      </c>
      <c r="L96">
        <v>17</v>
      </c>
      <c r="M96">
        <v>22</v>
      </c>
      <c r="N96">
        <f>L96+M96</f>
        <v>39</v>
      </c>
      <c r="O96">
        <v>1034</v>
      </c>
      <c r="P96">
        <v>2243</v>
      </c>
      <c r="Q96">
        <v>193</v>
      </c>
    </row>
    <row r="97" spans="1:17">
      <c r="A97" t="s">
        <v>23</v>
      </c>
      <c r="B97" s="3">
        <v>46198</v>
      </c>
      <c r="C97" s="4">
        <v>0.95833333333333337</v>
      </c>
      <c r="D97">
        <v>0</v>
      </c>
      <c r="E97" t="s">
        <v>24</v>
      </c>
      <c r="F97" t="s">
        <v>25</v>
      </c>
      <c r="G97" t="s">
        <v>20</v>
      </c>
      <c r="H97" t="s">
        <v>26</v>
      </c>
      <c r="I97" t="s">
        <v>27</v>
      </c>
      <c r="J97" s="1">
        <v>70122</v>
      </c>
      <c r="K97" s="2" t="b">
        <v>0</v>
      </c>
      <c r="L97">
        <v>18</v>
      </c>
      <c r="M97">
        <v>38</v>
      </c>
      <c r="N97">
        <f t="shared" ref="N97:N106" si="22">L97+M97</f>
        <v>56</v>
      </c>
      <c r="O97">
        <v>1289</v>
      </c>
      <c r="P97">
        <v>2023</v>
      </c>
      <c r="Q97">
        <v>67</v>
      </c>
    </row>
    <row r="98" spans="1:17">
      <c r="A98" t="s">
        <v>28</v>
      </c>
      <c r="B98" s="3">
        <v>46198</v>
      </c>
      <c r="C98" s="4">
        <v>0.95833333333333337</v>
      </c>
      <c r="D98">
        <v>0</v>
      </c>
      <c r="E98" t="s">
        <v>29</v>
      </c>
      <c r="F98" t="s">
        <v>30</v>
      </c>
      <c r="G98" t="s">
        <v>20</v>
      </c>
      <c r="H98" t="s">
        <v>31</v>
      </c>
      <c r="I98" t="s">
        <v>32</v>
      </c>
      <c r="J98" s="1">
        <v>69796</v>
      </c>
      <c r="K98" s="2" t="b">
        <v>0</v>
      </c>
      <c r="L98">
        <v>82</v>
      </c>
      <c r="M98">
        <v>33</v>
      </c>
      <c r="N98">
        <f t="shared" si="22"/>
        <v>115</v>
      </c>
      <c r="O98">
        <v>460</v>
      </c>
      <c r="P98">
        <v>633</v>
      </c>
      <c r="Q98">
        <v>22</v>
      </c>
    </row>
    <row r="99" spans="1:17">
      <c r="A99" t="s">
        <v>33</v>
      </c>
      <c r="B99" s="3">
        <v>46198</v>
      </c>
      <c r="C99" s="4">
        <v>0.95833333333333337</v>
      </c>
      <c r="D99">
        <v>1</v>
      </c>
      <c r="E99" t="s">
        <v>34</v>
      </c>
      <c r="F99" t="s">
        <v>35</v>
      </c>
      <c r="G99" t="s">
        <v>20</v>
      </c>
      <c r="H99" t="s">
        <v>36</v>
      </c>
      <c r="I99" t="s">
        <v>37</v>
      </c>
      <c r="J99" s="1">
        <v>64146</v>
      </c>
      <c r="K99" s="2" t="b">
        <v>0</v>
      </c>
      <c r="L99">
        <v>3</v>
      </c>
      <c r="M99">
        <v>31</v>
      </c>
      <c r="N99">
        <f t="shared" si="22"/>
        <v>34</v>
      </c>
      <c r="O99">
        <v>1379</v>
      </c>
      <c r="P99">
        <v>2953</v>
      </c>
      <c r="Q99">
        <v>226</v>
      </c>
    </row>
    <row r="100" spans="1:17">
      <c r="A100" t="s">
        <v>38</v>
      </c>
      <c r="B100" s="3">
        <v>46198</v>
      </c>
      <c r="C100" s="4">
        <v>0.95833333333333337</v>
      </c>
      <c r="D100">
        <v>1</v>
      </c>
      <c r="E100" t="s">
        <v>39</v>
      </c>
      <c r="F100" t="s">
        <v>40</v>
      </c>
      <c r="G100" t="s">
        <v>20</v>
      </c>
      <c r="H100" t="s">
        <v>41</v>
      </c>
      <c r="I100" t="s">
        <v>42</v>
      </c>
      <c r="J100" s="1">
        <v>64478</v>
      </c>
      <c r="K100" s="2" t="b">
        <v>0</v>
      </c>
      <c r="L100">
        <v>67</v>
      </c>
      <c r="M100">
        <v>61</v>
      </c>
      <c r="N100">
        <f t="shared" si="22"/>
        <v>128</v>
      </c>
      <c r="O100">
        <v>437</v>
      </c>
      <c r="P100">
        <v>987</v>
      </c>
      <c r="Q100">
        <v>460</v>
      </c>
    </row>
    <row r="101" spans="1:17">
      <c r="A101" t="s">
        <v>43</v>
      </c>
      <c r="B101" s="3">
        <v>46198</v>
      </c>
      <c r="C101" s="4">
        <v>0.95833333333333337</v>
      </c>
      <c r="D101">
        <v>1</v>
      </c>
      <c r="E101" t="s">
        <v>44</v>
      </c>
      <c r="F101" t="s">
        <v>45</v>
      </c>
      <c r="G101" t="s">
        <v>20</v>
      </c>
      <c r="H101" t="s">
        <v>46</v>
      </c>
      <c r="I101" t="s">
        <v>47</v>
      </c>
      <c r="J101">
        <v>49850</v>
      </c>
      <c r="K101" s="2" t="b">
        <v>0</v>
      </c>
      <c r="L101">
        <v>2</v>
      </c>
      <c r="M101">
        <v>16</v>
      </c>
      <c r="N101">
        <v>18</v>
      </c>
      <c r="O101">
        <v>2530</v>
      </c>
      <c r="P101">
        <v>3450</v>
      </c>
      <c r="Q101">
        <v>71</v>
      </c>
    </row>
    <row r="102" spans="1:17">
      <c r="A102" t="s">
        <v>48</v>
      </c>
      <c r="B102" s="3">
        <v>46198</v>
      </c>
      <c r="C102" s="4">
        <v>0.95833333333333337</v>
      </c>
      <c r="D102">
        <v>5</v>
      </c>
      <c r="E102" t="s">
        <v>49</v>
      </c>
      <c r="F102" t="s">
        <v>50</v>
      </c>
      <c r="G102" t="s">
        <v>51</v>
      </c>
      <c r="H102" t="s">
        <v>52</v>
      </c>
      <c r="I102" t="s">
        <v>53</v>
      </c>
      <c r="J102">
        <v>87523</v>
      </c>
      <c r="K102" s="2" t="b">
        <v>1</v>
      </c>
      <c r="L102">
        <v>14</v>
      </c>
      <c r="N102">
        <f>L102+M102</f>
        <v>14</v>
      </c>
      <c r="O102">
        <v>3105</v>
      </c>
      <c r="P102">
        <v>5829</v>
      </c>
      <c r="Q102">
        <v>324</v>
      </c>
    </row>
    <row r="103" spans="1:17">
      <c r="A103" t="s">
        <v>54</v>
      </c>
      <c r="B103" s="3">
        <v>46198</v>
      </c>
      <c r="C103" s="4">
        <v>0.95833333333333337</v>
      </c>
      <c r="D103">
        <v>6</v>
      </c>
      <c r="E103" t="s">
        <v>18</v>
      </c>
      <c r="F103" t="s">
        <v>55</v>
      </c>
      <c r="G103" t="s">
        <v>51</v>
      </c>
      <c r="H103" t="s">
        <v>56</v>
      </c>
      <c r="I103" t="s">
        <v>57</v>
      </c>
      <c r="J103">
        <v>68827</v>
      </c>
      <c r="K103" s="2" t="b">
        <v>1</v>
      </c>
      <c r="L103">
        <v>17</v>
      </c>
      <c r="N103">
        <f t="shared" ref="N103:N106" si="23">L103+M103</f>
        <v>17</v>
      </c>
      <c r="O103">
        <v>2135</v>
      </c>
      <c r="P103">
        <v>4600</v>
      </c>
      <c r="Q103">
        <v>1129</v>
      </c>
    </row>
    <row r="104" spans="1:17">
      <c r="A104" t="s">
        <v>58</v>
      </c>
      <c r="B104" s="3">
        <v>46198</v>
      </c>
      <c r="C104" s="4">
        <v>0.95833333333333337</v>
      </c>
      <c r="D104">
        <v>7</v>
      </c>
      <c r="E104" t="s">
        <v>74</v>
      </c>
      <c r="F104" t="s">
        <v>60</v>
      </c>
      <c r="G104" t="s">
        <v>51</v>
      </c>
      <c r="H104" t="s">
        <v>61</v>
      </c>
      <c r="I104" t="s">
        <v>62</v>
      </c>
      <c r="J104">
        <v>54500</v>
      </c>
      <c r="K104" s="2" t="b">
        <v>0</v>
      </c>
      <c r="L104">
        <v>19</v>
      </c>
      <c r="N104">
        <f>L104+M104</f>
        <v>19</v>
      </c>
      <c r="O104">
        <v>817</v>
      </c>
      <c r="P104">
        <v>2415</v>
      </c>
      <c r="Q104">
        <v>415</v>
      </c>
    </row>
    <row r="105" spans="1:17">
      <c r="A105" t="s">
        <v>63</v>
      </c>
      <c r="B105" s="3">
        <v>46198</v>
      </c>
      <c r="C105" s="4">
        <v>0.95833333333333337</v>
      </c>
      <c r="D105">
        <v>8</v>
      </c>
      <c r="E105" t="s">
        <v>72</v>
      </c>
      <c r="F105" t="s">
        <v>65</v>
      </c>
      <c r="G105" t="s">
        <v>51</v>
      </c>
      <c r="H105" t="s">
        <v>41</v>
      </c>
      <c r="I105" t="s">
        <v>42</v>
      </c>
      <c r="J105">
        <v>64478</v>
      </c>
      <c r="K105" s="2" t="b">
        <v>0</v>
      </c>
      <c r="L105">
        <v>1</v>
      </c>
      <c r="N105">
        <f t="shared" ref="N105:N106" si="24">L105+M105</f>
        <v>1</v>
      </c>
      <c r="O105">
        <v>5057</v>
      </c>
      <c r="P105">
        <v>8237</v>
      </c>
      <c r="Q105">
        <v>1260</v>
      </c>
    </row>
    <row r="106" spans="1:17">
      <c r="A106" t="s">
        <v>66</v>
      </c>
      <c r="B106" s="3">
        <v>46198</v>
      </c>
      <c r="C106" s="4">
        <v>0.95833333333333337</v>
      </c>
      <c r="D106">
        <v>24</v>
      </c>
      <c r="E106" t="s">
        <v>67</v>
      </c>
      <c r="F106" t="s">
        <v>68</v>
      </c>
      <c r="G106" t="s">
        <v>69</v>
      </c>
      <c r="H106" t="s">
        <v>70</v>
      </c>
      <c r="I106" t="s">
        <v>71</v>
      </c>
      <c r="J106">
        <v>82500</v>
      </c>
      <c r="K106" s="2" t="b">
        <v>0</v>
      </c>
      <c r="N106">
        <f t="shared" si="24"/>
        <v>0</v>
      </c>
    </row>
    <row r="108" spans="1:17">
      <c r="A108" t="s">
        <v>38</v>
      </c>
      <c r="B108" s="3">
        <v>46199</v>
      </c>
      <c r="C108" s="4">
        <v>0.5</v>
      </c>
      <c r="D108">
        <v>0</v>
      </c>
      <c r="E108" t="s">
        <v>39</v>
      </c>
      <c r="F108" t="s">
        <v>40</v>
      </c>
      <c r="G108" t="s">
        <v>20</v>
      </c>
      <c r="H108" t="s">
        <v>41</v>
      </c>
      <c r="I108" t="s">
        <v>42</v>
      </c>
      <c r="J108" s="1">
        <v>64478</v>
      </c>
      <c r="K108" s="2" t="b">
        <v>0</v>
      </c>
      <c r="L108">
        <v>67</v>
      </c>
      <c r="M108">
        <v>61</v>
      </c>
      <c r="N108">
        <f t="shared" ref="N108" si="25">L108+M108</f>
        <v>128</v>
      </c>
      <c r="O108">
        <v>414</v>
      </c>
      <c r="P108">
        <v>978</v>
      </c>
      <c r="Q108">
        <v>188</v>
      </c>
    </row>
    <row r="109" spans="1:17">
      <c r="A109" t="s">
        <v>43</v>
      </c>
      <c r="B109" s="3">
        <v>46199</v>
      </c>
      <c r="C109" s="4">
        <v>0.5</v>
      </c>
      <c r="D109">
        <v>0</v>
      </c>
      <c r="E109" t="s">
        <v>44</v>
      </c>
      <c r="F109" t="s">
        <v>45</v>
      </c>
      <c r="G109" t="s">
        <v>20</v>
      </c>
      <c r="H109" t="s">
        <v>46</v>
      </c>
      <c r="I109" t="s">
        <v>47</v>
      </c>
      <c r="J109">
        <v>49850</v>
      </c>
      <c r="K109" s="2" t="b">
        <v>0</v>
      </c>
      <c r="L109">
        <v>2</v>
      </c>
      <c r="M109">
        <v>16</v>
      </c>
      <c r="N109">
        <v>18</v>
      </c>
      <c r="O109">
        <v>1610</v>
      </c>
      <c r="P109">
        <v>3590</v>
      </c>
      <c r="Q109">
        <v>14</v>
      </c>
    </row>
    <row r="110" spans="1:17">
      <c r="A110" t="s">
        <v>48</v>
      </c>
      <c r="B110" s="3">
        <v>46199</v>
      </c>
      <c r="C110" s="4">
        <v>0.5</v>
      </c>
      <c r="D110">
        <v>4</v>
      </c>
      <c r="E110" t="s">
        <v>49</v>
      </c>
      <c r="F110" t="s">
        <v>50</v>
      </c>
      <c r="G110" t="s">
        <v>51</v>
      </c>
      <c r="H110" t="s">
        <v>52</v>
      </c>
      <c r="I110" t="s">
        <v>53</v>
      </c>
      <c r="J110">
        <v>87523</v>
      </c>
      <c r="K110" s="2" t="b">
        <v>1</v>
      </c>
      <c r="L110">
        <v>14</v>
      </c>
      <c r="N110">
        <f>L110+M110</f>
        <v>14</v>
      </c>
      <c r="O110">
        <v>3081</v>
      </c>
      <c r="P110">
        <v>6174</v>
      </c>
      <c r="Q110">
        <v>313</v>
      </c>
    </row>
    <row r="111" spans="1:17">
      <c r="A111" t="s">
        <v>54</v>
      </c>
      <c r="B111" s="3">
        <v>46199</v>
      </c>
      <c r="C111" s="4">
        <v>0.5</v>
      </c>
      <c r="D111">
        <v>5</v>
      </c>
      <c r="E111" t="s">
        <v>18</v>
      </c>
      <c r="F111" t="s">
        <v>76</v>
      </c>
      <c r="G111" t="s">
        <v>51</v>
      </c>
      <c r="H111" t="s">
        <v>56</v>
      </c>
      <c r="I111" t="s">
        <v>57</v>
      </c>
      <c r="J111">
        <v>68827</v>
      </c>
      <c r="K111" s="2" t="b">
        <v>1</v>
      </c>
      <c r="L111">
        <v>17</v>
      </c>
      <c r="M111">
        <v>64</v>
      </c>
      <c r="N111">
        <f t="shared" ref="N111:N114" si="26">L111+M111</f>
        <v>81</v>
      </c>
      <c r="O111">
        <v>1725</v>
      </c>
      <c r="P111">
        <v>4830</v>
      </c>
      <c r="Q111">
        <v>3054</v>
      </c>
    </row>
    <row r="112" spans="1:17">
      <c r="A112" t="s">
        <v>58</v>
      </c>
      <c r="B112" s="3">
        <v>46199</v>
      </c>
      <c r="C112" s="4">
        <v>0.5</v>
      </c>
      <c r="D112">
        <v>6</v>
      </c>
      <c r="E112" t="s">
        <v>74</v>
      </c>
      <c r="F112" t="s">
        <v>60</v>
      </c>
      <c r="G112" t="s">
        <v>51</v>
      </c>
      <c r="H112" t="s">
        <v>61</v>
      </c>
      <c r="I112" t="s">
        <v>62</v>
      </c>
      <c r="J112">
        <v>54500</v>
      </c>
      <c r="K112" s="2" t="b">
        <v>0</v>
      </c>
      <c r="L112">
        <v>19</v>
      </c>
      <c r="N112">
        <f>L112+M112</f>
        <v>19</v>
      </c>
      <c r="O112">
        <v>495</v>
      </c>
      <c r="P112">
        <v>1495</v>
      </c>
      <c r="Q112">
        <v>2928</v>
      </c>
    </row>
    <row r="113" spans="1:17">
      <c r="A113" t="s">
        <v>63</v>
      </c>
      <c r="B113" s="3">
        <v>46199</v>
      </c>
      <c r="C113" s="4">
        <v>0.5</v>
      </c>
      <c r="D113">
        <v>7</v>
      </c>
      <c r="E113" t="s">
        <v>72</v>
      </c>
      <c r="F113" t="s">
        <v>65</v>
      </c>
      <c r="G113" t="s">
        <v>51</v>
      </c>
      <c r="H113" t="s">
        <v>41</v>
      </c>
      <c r="I113" t="s">
        <v>42</v>
      </c>
      <c r="J113">
        <v>64478</v>
      </c>
      <c r="K113" s="2" t="b">
        <v>0</v>
      </c>
      <c r="L113">
        <v>1</v>
      </c>
      <c r="N113">
        <f t="shared" ref="N113:N114" si="27">L113+M113</f>
        <v>1</v>
      </c>
      <c r="O113">
        <v>3457</v>
      </c>
      <c r="P113">
        <v>6038</v>
      </c>
      <c r="Q113">
        <v>1221</v>
      </c>
    </row>
    <row r="114" spans="1:17">
      <c r="A114" t="s">
        <v>66</v>
      </c>
      <c r="B114" s="3">
        <v>46199</v>
      </c>
      <c r="C114" s="4">
        <v>0.5</v>
      </c>
      <c r="D114">
        <v>23</v>
      </c>
      <c r="E114" t="s">
        <v>67</v>
      </c>
      <c r="F114" t="s">
        <v>68</v>
      </c>
      <c r="G114" t="s">
        <v>69</v>
      </c>
      <c r="H114" t="s">
        <v>70</v>
      </c>
      <c r="I114" t="s">
        <v>71</v>
      </c>
      <c r="J114">
        <v>82500</v>
      </c>
      <c r="K114" s="2" t="b">
        <v>0</v>
      </c>
      <c r="N114">
        <f t="shared" si="27"/>
        <v>0</v>
      </c>
      <c r="O114">
        <v>15761</v>
      </c>
      <c r="P114">
        <v>29603</v>
      </c>
      <c r="Q114">
        <v>340</v>
      </c>
    </row>
    <row r="116" spans="1:17">
      <c r="A116" t="s">
        <v>48</v>
      </c>
      <c r="B116" s="3">
        <v>46200</v>
      </c>
      <c r="C116" s="4">
        <v>0.625</v>
      </c>
      <c r="D116">
        <v>3</v>
      </c>
      <c r="E116" t="s">
        <v>49</v>
      </c>
      <c r="F116" t="s">
        <v>50</v>
      </c>
      <c r="G116" t="s">
        <v>51</v>
      </c>
      <c r="H116" t="s">
        <v>52</v>
      </c>
      <c r="I116" t="s">
        <v>53</v>
      </c>
      <c r="J116">
        <v>87523</v>
      </c>
      <c r="K116" s="2" t="b">
        <v>1</v>
      </c>
      <c r="L116">
        <v>14</v>
      </c>
      <c r="N116">
        <f>L116+M116</f>
        <v>14</v>
      </c>
      <c r="O116">
        <v>2939</v>
      </c>
      <c r="P116">
        <v>5737</v>
      </c>
      <c r="Q116">
        <v>302</v>
      </c>
    </row>
    <row r="117" spans="1:17">
      <c r="A117" t="s">
        <v>54</v>
      </c>
      <c r="B117" s="3">
        <v>46200</v>
      </c>
      <c r="C117" s="4">
        <v>0.625</v>
      </c>
      <c r="D117">
        <v>4</v>
      </c>
      <c r="E117" t="s">
        <v>18</v>
      </c>
      <c r="F117" t="s">
        <v>76</v>
      </c>
      <c r="G117" t="s">
        <v>51</v>
      </c>
      <c r="H117" t="s">
        <v>56</v>
      </c>
      <c r="I117" t="s">
        <v>57</v>
      </c>
      <c r="J117">
        <v>68827</v>
      </c>
      <c r="K117" s="2" t="b">
        <v>1</v>
      </c>
      <c r="L117">
        <v>17</v>
      </c>
      <c r="M117">
        <v>64</v>
      </c>
      <c r="N117">
        <f t="shared" ref="N117:N120" si="28">L117+M117</f>
        <v>81</v>
      </c>
      <c r="O117">
        <v>1541</v>
      </c>
      <c r="P117">
        <v>3219</v>
      </c>
      <c r="Q117">
        <v>3534</v>
      </c>
    </row>
    <row r="118" spans="1:17">
      <c r="A118" t="s">
        <v>58</v>
      </c>
      <c r="B118" s="3">
        <v>46200</v>
      </c>
      <c r="C118" s="4">
        <v>0.625</v>
      </c>
      <c r="D118">
        <v>5</v>
      </c>
      <c r="E118" t="s">
        <v>74</v>
      </c>
      <c r="F118" t="s">
        <v>60</v>
      </c>
      <c r="G118" t="s">
        <v>51</v>
      </c>
      <c r="H118" t="s">
        <v>61</v>
      </c>
      <c r="I118" t="s">
        <v>62</v>
      </c>
      <c r="J118">
        <v>54500</v>
      </c>
      <c r="K118" s="2" t="b">
        <v>0</v>
      </c>
      <c r="L118">
        <v>19</v>
      </c>
      <c r="N118">
        <f>L118+M118</f>
        <v>19</v>
      </c>
      <c r="O118">
        <v>858</v>
      </c>
      <c r="P118">
        <v>1962</v>
      </c>
      <c r="Q118">
        <v>817</v>
      </c>
    </row>
    <row r="119" spans="1:17">
      <c r="A119" t="s">
        <v>63</v>
      </c>
      <c r="B119" s="3">
        <v>46200</v>
      </c>
      <c r="C119" s="4">
        <v>0.625</v>
      </c>
      <c r="D119">
        <v>6</v>
      </c>
      <c r="E119" t="s">
        <v>72</v>
      </c>
      <c r="F119" t="s">
        <v>39</v>
      </c>
      <c r="G119" t="s">
        <v>51</v>
      </c>
      <c r="H119" t="s">
        <v>41</v>
      </c>
      <c r="I119" t="s">
        <v>42</v>
      </c>
      <c r="J119">
        <v>64478</v>
      </c>
      <c r="K119" s="2" t="b">
        <v>0</v>
      </c>
      <c r="L119">
        <v>1</v>
      </c>
      <c r="M119">
        <v>67</v>
      </c>
      <c r="N119">
        <f t="shared" ref="N119:N120" si="29">L119+M119</f>
        <v>68</v>
      </c>
      <c r="O119">
        <v>2990</v>
      </c>
      <c r="P119">
        <v>5461</v>
      </c>
      <c r="Q119">
        <v>1569</v>
      </c>
    </row>
    <row r="120" spans="1:17">
      <c r="A120" t="s">
        <v>66</v>
      </c>
      <c r="B120" s="3">
        <v>46200</v>
      </c>
      <c r="C120" s="4">
        <v>0.625</v>
      </c>
      <c r="D120">
        <v>22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>
        <v>82500</v>
      </c>
      <c r="K120" s="2" t="b">
        <v>0</v>
      </c>
      <c r="N120">
        <f t="shared" si="29"/>
        <v>0</v>
      </c>
      <c r="O120">
        <v>17981</v>
      </c>
      <c r="P120">
        <v>40865</v>
      </c>
      <c r="Q120">
        <v>445</v>
      </c>
    </row>
    <row r="122" spans="1:17">
      <c r="A122" t="s">
        <v>48</v>
      </c>
      <c r="B122" s="3">
        <v>46201</v>
      </c>
      <c r="C122" s="4">
        <v>0.5</v>
      </c>
      <c r="D122">
        <v>2</v>
      </c>
      <c r="E122" t="s">
        <v>49</v>
      </c>
      <c r="F122" t="s">
        <v>77</v>
      </c>
      <c r="G122" t="s">
        <v>51</v>
      </c>
      <c r="H122" t="s">
        <v>52</v>
      </c>
      <c r="I122" t="s">
        <v>53</v>
      </c>
      <c r="J122">
        <v>87523</v>
      </c>
      <c r="K122" s="2" t="b">
        <v>1</v>
      </c>
      <c r="L122">
        <v>14</v>
      </c>
      <c r="M122">
        <v>23</v>
      </c>
      <c r="N122">
        <f>L122+M122</f>
        <v>37</v>
      </c>
      <c r="O122">
        <v>2939</v>
      </c>
      <c r="P122">
        <v>4982</v>
      </c>
      <c r="Q122">
        <v>243</v>
      </c>
    </row>
    <row r="123" spans="1:17">
      <c r="A123" t="s">
        <v>54</v>
      </c>
      <c r="B123" s="3">
        <v>46201</v>
      </c>
      <c r="C123" s="4">
        <v>0.5</v>
      </c>
      <c r="D123">
        <v>3</v>
      </c>
      <c r="E123" t="s">
        <v>18</v>
      </c>
      <c r="F123" t="s">
        <v>76</v>
      </c>
      <c r="G123" t="s">
        <v>51</v>
      </c>
      <c r="H123" t="s">
        <v>56</v>
      </c>
      <c r="I123" t="s">
        <v>57</v>
      </c>
      <c r="J123">
        <v>68827</v>
      </c>
      <c r="K123" s="2" t="b">
        <v>1</v>
      </c>
      <c r="L123">
        <v>17</v>
      </c>
      <c r="M123">
        <v>64</v>
      </c>
      <c r="N123">
        <f t="shared" ref="N123:N126" si="30">L123+M123</f>
        <v>81</v>
      </c>
      <c r="O123">
        <v>1150</v>
      </c>
      <c r="P123">
        <v>4025</v>
      </c>
      <c r="Q123">
        <v>3053</v>
      </c>
    </row>
    <row r="124" spans="1:17">
      <c r="A124" t="s">
        <v>58</v>
      </c>
      <c r="B124" s="3">
        <v>46201</v>
      </c>
      <c r="C124" s="4">
        <v>0.5</v>
      </c>
      <c r="D124">
        <v>4</v>
      </c>
      <c r="E124" t="s">
        <v>74</v>
      </c>
      <c r="F124" t="s">
        <v>78</v>
      </c>
      <c r="G124" t="s">
        <v>51</v>
      </c>
      <c r="H124" t="s">
        <v>61</v>
      </c>
      <c r="I124" t="s">
        <v>62</v>
      </c>
      <c r="J124">
        <v>54500</v>
      </c>
      <c r="K124" s="2" t="b">
        <v>0</v>
      </c>
      <c r="L124">
        <v>19</v>
      </c>
      <c r="M124">
        <v>28</v>
      </c>
      <c r="N124">
        <f>L124+M124</f>
        <v>47</v>
      </c>
      <c r="O124">
        <v>445</v>
      </c>
      <c r="P124">
        <v>1150</v>
      </c>
      <c r="Q124">
        <v>2094</v>
      </c>
    </row>
    <row r="125" spans="1:17">
      <c r="A125" t="s">
        <v>63</v>
      </c>
      <c r="B125" s="3">
        <v>46201</v>
      </c>
      <c r="C125" s="4">
        <v>0.5</v>
      </c>
      <c r="D125">
        <v>5</v>
      </c>
      <c r="E125" t="s">
        <v>72</v>
      </c>
      <c r="F125" t="s">
        <v>39</v>
      </c>
      <c r="G125" t="s">
        <v>51</v>
      </c>
      <c r="H125" t="s">
        <v>41</v>
      </c>
      <c r="I125" t="s">
        <v>42</v>
      </c>
      <c r="J125">
        <v>64478</v>
      </c>
      <c r="K125" s="2" t="b">
        <v>0</v>
      </c>
      <c r="L125">
        <v>1</v>
      </c>
      <c r="M125">
        <v>67</v>
      </c>
      <c r="N125">
        <f t="shared" ref="N125:N126" si="31">L125+M125</f>
        <v>68</v>
      </c>
      <c r="O125">
        <v>2645</v>
      </c>
      <c r="P125">
        <v>5173</v>
      </c>
      <c r="Q125">
        <v>1737</v>
      </c>
    </row>
    <row r="126" spans="1:17">
      <c r="A126" t="s">
        <v>66</v>
      </c>
      <c r="B126" s="3">
        <v>46201</v>
      </c>
      <c r="C126" s="4">
        <v>0.5</v>
      </c>
      <c r="D126">
        <v>21</v>
      </c>
      <c r="E126" t="s">
        <v>67</v>
      </c>
      <c r="F126" t="s">
        <v>68</v>
      </c>
      <c r="G126" t="s">
        <v>69</v>
      </c>
      <c r="H126" t="s">
        <v>70</v>
      </c>
      <c r="I126" t="s">
        <v>71</v>
      </c>
      <c r="J126">
        <v>82500</v>
      </c>
      <c r="K126" s="2" t="b">
        <v>0</v>
      </c>
      <c r="N126">
        <f t="shared" si="31"/>
        <v>0</v>
      </c>
      <c r="O126">
        <v>14720</v>
      </c>
      <c r="P126">
        <v>25300</v>
      </c>
      <c r="Q126">
        <v>417</v>
      </c>
    </row>
    <row r="128" spans="1:17">
      <c r="A128" t="s">
        <v>48</v>
      </c>
      <c r="B128" s="3">
        <v>46202</v>
      </c>
      <c r="C128" s="4">
        <v>0.41666666666666669</v>
      </c>
      <c r="D128">
        <v>1</v>
      </c>
      <c r="E128" t="s">
        <v>49</v>
      </c>
      <c r="F128" t="s">
        <v>77</v>
      </c>
      <c r="G128" t="s">
        <v>51</v>
      </c>
      <c r="H128" t="s">
        <v>52</v>
      </c>
      <c r="I128" t="s">
        <v>53</v>
      </c>
      <c r="J128">
        <v>87523</v>
      </c>
      <c r="K128" s="2" t="b">
        <v>1</v>
      </c>
      <c r="L128">
        <v>14</v>
      </c>
      <c r="M128">
        <v>23</v>
      </c>
      <c r="N128">
        <f>L128+M128</f>
        <v>37</v>
      </c>
      <c r="O128">
        <v>494</v>
      </c>
      <c r="P128">
        <v>4140</v>
      </c>
      <c r="Q128">
        <v>78</v>
      </c>
    </row>
    <row r="129" spans="1:17">
      <c r="A129" t="s">
        <v>54</v>
      </c>
      <c r="B129" s="3">
        <v>46202</v>
      </c>
      <c r="C129" s="4">
        <v>0.41666666666666669</v>
      </c>
      <c r="D129">
        <v>2</v>
      </c>
      <c r="E129" t="s">
        <v>18</v>
      </c>
      <c r="F129" t="s">
        <v>76</v>
      </c>
      <c r="G129" t="s">
        <v>51</v>
      </c>
      <c r="H129" t="s">
        <v>56</v>
      </c>
      <c r="I129" t="s">
        <v>57</v>
      </c>
      <c r="J129">
        <v>68827</v>
      </c>
      <c r="K129" s="2" t="b">
        <v>1</v>
      </c>
      <c r="L129">
        <v>17</v>
      </c>
      <c r="M129">
        <v>64</v>
      </c>
      <c r="N129">
        <f t="shared" ref="N129:N132" si="32">L129+M129</f>
        <v>81</v>
      </c>
      <c r="O129">
        <v>1214</v>
      </c>
      <c r="P129">
        <v>3666</v>
      </c>
      <c r="Q129">
        <v>257</v>
      </c>
    </row>
    <row r="130" spans="1:17">
      <c r="A130" t="s">
        <v>58</v>
      </c>
      <c r="B130" s="3">
        <v>46202</v>
      </c>
      <c r="C130" s="4">
        <v>0.41666666666666669</v>
      </c>
      <c r="D130">
        <v>3</v>
      </c>
      <c r="E130" t="s">
        <v>74</v>
      </c>
      <c r="F130" t="s">
        <v>78</v>
      </c>
      <c r="G130" t="s">
        <v>51</v>
      </c>
      <c r="H130" t="s">
        <v>61</v>
      </c>
      <c r="I130" t="s">
        <v>62</v>
      </c>
      <c r="J130">
        <v>54500</v>
      </c>
      <c r="K130" s="2" t="b">
        <v>0</v>
      </c>
      <c r="L130">
        <v>19</v>
      </c>
      <c r="M130">
        <v>28</v>
      </c>
      <c r="N130">
        <f>L130+M130</f>
        <v>47</v>
      </c>
      <c r="O130">
        <v>425</v>
      </c>
      <c r="P130">
        <v>1380</v>
      </c>
      <c r="Q130">
        <v>1016</v>
      </c>
    </row>
    <row r="131" spans="1:17">
      <c r="A131" t="s">
        <v>63</v>
      </c>
      <c r="B131" s="3">
        <v>46202</v>
      </c>
      <c r="C131" s="4">
        <v>0.41666666666666669</v>
      </c>
      <c r="D131">
        <v>4</v>
      </c>
      <c r="E131" t="s">
        <v>72</v>
      </c>
      <c r="F131" t="s">
        <v>39</v>
      </c>
      <c r="G131" t="s">
        <v>51</v>
      </c>
      <c r="H131" t="s">
        <v>41</v>
      </c>
      <c r="I131" t="s">
        <v>42</v>
      </c>
      <c r="J131">
        <v>64478</v>
      </c>
      <c r="K131" s="2" t="b">
        <v>0</v>
      </c>
      <c r="L131">
        <v>1</v>
      </c>
      <c r="M131">
        <v>67</v>
      </c>
      <c r="N131">
        <f t="shared" ref="N131:N132" si="33">L131+M131</f>
        <v>68</v>
      </c>
      <c r="O131">
        <v>2358</v>
      </c>
      <c r="P131">
        <v>4600</v>
      </c>
      <c r="Q131">
        <v>1775</v>
      </c>
    </row>
    <row r="132" spans="1:17">
      <c r="A132" t="s">
        <v>66</v>
      </c>
      <c r="B132" s="3">
        <v>46202</v>
      </c>
      <c r="C132" s="4">
        <v>0.41666666666666669</v>
      </c>
      <c r="D132">
        <v>20</v>
      </c>
      <c r="E132" t="s">
        <v>67</v>
      </c>
      <c r="F132" t="s">
        <v>68</v>
      </c>
      <c r="G132" t="s">
        <v>69</v>
      </c>
      <c r="H132" t="s">
        <v>70</v>
      </c>
      <c r="I132" t="s">
        <v>71</v>
      </c>
      <c r="J132">
        <v>82500</v>
      </c>
      <c r="K132" s="2" t="b">
        <v>0</v>
      </c>
      <c r="N132">
        <f t="shared" si="33"/>
        <v>0</v>
      </c>
      <c r="O132">
        <v>14720</v>
      </c>
      <c r="P132">
        <v>33350</v>
      </c>
      <c r="Q132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4440-A0F6-42AA-913A-289336657820}">
  <dimension ref="A1:P12"/>
  <sheetViews>
    <sheetView workbookViewId="0">
      <pane ySplit="1" topLeftCell="C2" activePane="bottomLeft" state="frozen"/>
      <selection pane="bottomLeft" activeCell="E12" sqref="E12"/>
    </sheetView>
  </sheetViews>
  <sheetFormatPr defaultRowHeight="15"/>
  <cols>
    <col min="1" max="1" width="24.5703125" bestFit="1" customWidth="1"/>
    <col min="2" max="2" width="11" bestFit="1" customWidth="1"/>
    <col min="3" max="3" width="21.7109375" bestFit="1" customWidth="1"/>
    <col min="4" max="4" width="10.140625" style="3" bestFit="1" customWidth="1"/>
    <col min="5" max="5" width="11.7109375" style="4" bestFit="1" customWidth="1"/>
    <col min="6" max="6" width="28.5703125" bestFit="1" customWidth="1"/>
    <col min="7" max="7" width="12.5703125" bestFit="1" customWidth="1"/>
    <col min="10" max="10" width="11.5703125" bestFit="1" customWidth="1"/>
    <col min="11" max="11" width="11.28515625" bestFit="1" customWidth="1"/>
    <col min="12" max="13" width="11.42578125" bestFit="1" customWidth="1"/>
    <col min="14" max="14" width="14.42578125" bestFit="1" customWidth="1"/>
    <col min="15" max="15" width="17.28515625" bestFit="1" customWidth="1"/>
    <col min="16" max="16" width="9.140625" style="10"/>
  </cols>
  <sheetData>
    <row r="1" spans="1:16">
      <c r="A1" t="s">
        <v>79</v>
      </c>
      <c r="B1" t="s">
        <v>4</v>
      </c>
      <c r="C1" t="s">
        <v>5</v>
      </c>
      <c r="D1" s="3" t="s">
        <v>80</v>
      </c>
      <c r="E1" s="4" t="s">
        <v>81</v>
      </c>
      <c r="F1" t="s">
        <v>7</v>
      </c>
      <c r="G1" t="s">
        <v>8</v>
      </c>
      <c r="H1" t="s">
        <v>82</v>
      </c>
      <c r="I1" t="s">
        <v>9</v>
      </c>
      <c r="J1" t="s">
        <v>6</v>
      </c>
      <c r="K1" t="s">
        <v>10</v>
      </c>
      <c r="L1" t="s">
        <v>11</v>
      </c>
      <c r="M1" t="s">
        <v>12</v>
      </c>
      <c r="N1" t="s">
        <v>83</v>
      </c>
      <c r="O1" t="s">
        <v>84</v>
      </c>
      <c r="P1" s="10" t="s">
        <v>85</v>
      </c>
    </row>
    <row r="2" spans="1:16">
      <c r="A2" t="s">
        <v>17</v>
      </c>
      <c r="B2" t="s">
        <v>18</v>
      </c>
      <c r="C2" t="s">
        <v>19</v>
      </c>
      <c r="D2" s="3">
        <v>46198</v>
      </c>
      <c r="E2" s="4">
        <v>0.79166666666666663</v>
      </c>
      <c r="F2" t="s">
        <v>21</v>
      </c>
      <c r="G2" t="s">
        <v>22</v>
      </c>
      <c r="H2" t="s">
        <v>18</v>
      </c>
      <c r="I2" s="1">
        <v>70492</v>
      </c>
      <c r="J2" t="s">
        <v>20</v>
      </c>
      <c r="K2" s="2" t="b">
        <v>1</v>
      </c>
      <c r="L2">
        <v>17</v>
      </c>
      <c r="M2">
        <v>22</v>
      </c>
      <c r="N2">
        <f>L2+M2</f>
        <v>39</v>
      </c>
      <c r="O2" s="9">
        <v>70492</v>
      </c>
      <c r="P2" s="10">
        <f>O2/I2</f>
        <v>1</v>
      </c>
    </row>
    <row r="3" spans="1:16">
      <c r="A3" t="s">
        <v>23</v>
      </c>
      <c r="B3" t="s">
        <v>24</v>
      </c>
      <c r="C3" t="s">
        <v>25</v>
      </c>
      <c r="D3" s="3">
        <v>46198</v>
      </c>
      <c r="E3" s="4">
        <v>0.75</v>
      </c>
      <c r="F3" t="s">
        <v>26</v>
      </c>
      <c r="G3" t="s">
        <v>27</v>
      </c>
      <c r="H3" t="s">
        <v>18</v>
      </c>
      <c r="I3" s="1">
        <v>70649</v>
      </c>
      <c r="J3" t="s">
        <v>20</v>
      </c>
      <c r="K3" s="2" t="b">
        <v>0</v>
      </c>
      <c r="L3">
        <v>18</v>
      </c>
      <c r="M3">
        <v>38</v>
      </c>
      <c r="N3">
        <f t="shared" ref="N3:N12" si="0">L3+M3</f>
        <v>56</v>
      </c>
      <c r="O3" s="9">
        <v>70137</v>
      </c>
      <c r="P3" s="10">
        <f t="shared" ref="P3:P12" si="1">O3/I3</f>
        <v>0.99275290520743398</v>
      </c>
    </row>
    <row r="4" spans="1:16">
      <c r="A4" t="s">
        <v>28</v>
      </c>
      <c r="B4" t="s">
        <v>29</v>
      </c>
      <c r="C4" t="s">
        <v>30</v>
      </c>
      <c r="D4" s="3">
        <v>46198</v>
      </c>
      <c r="E4" s="4">
        <v>0.66666666666666663</v>
      </c>
      <c r="F4" t="s">
        <v>31</v>
      </c>
      <c r="G4" t="s">
        <v>32</v>
      </c>
      <c r="H4" t="s">
        <v>18</v>
      </c>
      <c r="I4" s="1">
        <v>68324</v>
      </c>
      <c r="J4" t="s">
        <v>20</v>
      </c>
      <c r="K4" s="2" t="b">
        <v>0</v>
      </c>
      <c r="L4">
        <v>82</v>
      </c>
      <c r="M4">
        <v>33</v>
      </c>
      <c r="N4">
        <f t="shared" si="0"/>
        <v>115</v>
      </c>
      <c r="O4" s="9">
        <v>68324</v>
      </c>
      <c r="P4" s="10">
        <f t="shared" si="1"/>
        <v>1</v>
      </c>
    </row>
    <row r="5" spans="1:16">
      <c r="A5" t="s">
        <v>33</v>
      </c>
      <c r="B5" t="s">
        <v>34</v>
      </c>
      <c r="C5" t="s">
        <v>35</v>
      </c>
      <c r="D5" s="3">
        <v>46199</v>
      </c>
      <c r="E5" s="4">
        <v>0.625</v>
      </c>
      <c r="F5" t="s">
        <v>36</v>
      </c>
      <c r="G5" t="s">
        <v>37</v>
      </c>
      <c r="H5" t="s">
        <v>18</v>
      </c>
      <c r="I5" s="1">
        <v>64146</v>
      </c>
      <c r="J5" t="s">
        <v>20</v>
      </c>
      <c r="K5" s="2" t="b">
        <v>0</v>
      </c>
      <c r="L5">
        <v>3</v>
      </c>
      <c r="M5">
        <v>31</v>
      </c>
      <c r="N5">
        <f t="shared" si="0"/>
        <v>34</v>
      </c>
      <c r="O5" s="9">
        <v>64146</v>
      </c>
      <c r="P5" s="10">
        <f t="shared" si="1"/>
        <v>1</v>
      </c>
    </row>
    <row r="6" spans="1:16">
      <c r="A6" t="s">
        <v>38</v>
      </c>
      <c r="B6" t="s">
        <v>39</v>
      </c>
      <c r="C6" t="s">
        <v>40</v>
      </c>
      <c r="D6" s="3">
        <v>46199</v>
      </c>
      <c r="E6" s="4">
        <v>0.79166666666666663</v>
      </c>
      <c r="F6" t="s">
        <v>86</v>
      </c>
      <c r="G6" t="s">
        <v>87</v>
      </c>
      <c r="H6" t="s">
        <v>18</v>
      </c>
      <c r="I6" s="1">
        <v>68777</v>
      </c>
      <c r="J6" t="s">
        <v>20</v>
      </c>
      <c r="K6" s="2" t="b">
        <v>0</v>
      </c>
      <c r="L6">
        <v>67</v>
      </c>
      <c r="M6">
        <v>61</v>
      </c>
      <c r="N6">
        <f t="shared" si="0"/>
        <v>128</v>
      </c>
      <c r="O6" s="9">
        <v>68278</v>
      </c>
      <c r="P6" s="10">
        <f t="shared" si="1"/>
        <v>0.99274466754874446</v>
      </c>
    </row>
    <row r="7" spans="1:16">
      <c r="A7" t="s">
        <v>43</v>
      </c>
      <c r="B7" t="s">
        <v>44</v>
      </c>
      <c r="C7" t="s">
        <v>45</v>
      </c>
      <c r="D7" s="3">
        <v>46199</v>
      </c>
      <c r="E7" s="4">
        <v>0.75</v>
      </c>
      <c r="F7" t="s">
        <v>88</v>
      </c>
      <c r="G7" t="s">
        <v>47</v>
      </c>
      <c r="H7" t="s">
        <v>49</v>
      </c>
      <c r="I7" s="1">
        <v>45664</v>
      </c>
      <c r="J7" t="s">
        <v>20</v>
      </c>
      <c r="K7" s="2" t="b">
        <v>0</v>
      </c>
      <c r="L7">
        <v>2</v>
      </c>
      <c r="M7">
        <v>16</v>
      </c>
      <c r="N7">
        <f t="shared" si="0"/>
        <v>18</v>
      </c>
      <c r="O7" s="8">
        <v>45065</v>
      </c>
      <c r="P7" s="10">
        <f t="shared" si="1"/>
        <v>0.98688244569025929</v>
      </c>
    </row>
    <row r="8" spans="1:16">
      <c r="A8" t="s">
        <v>48</v>
      </c>
      <c r="B8" t="s">
        <v>89</v>
      </c>
      <c r="C8" t="s">
        <v>77</v>
      </c>
      <c r="D8" s="3">
        <v>46203</v>
      </c>
      <c r="E8" s="4">
        <v>0.79166666666666663</v>
      </c>
      <c r="F8" t="s">
        <v>90</v>
      </c>
      <c r="G8" t="s">
        <v>53</v>
      </c>
      <c r="H8" t="s">
        <v>49</v>
      </c>
      <c r="I8" s="1">
        <v>80824</v>
      </c>
      <c r="J8" t="s">
        <v>51</v>
      </c>
      <c r="K8" s="2" t="b">
        <v>1</v>
      </c>
      <c r="L8">
        <v>14</v>
      </c>
      <c r="M8">
        <v>23</v>
      </c>
      <c r="N8">
        <f>L8+M8</f>
        <v>37</v>
      </c>
      <c r="P8" s="10">
        <f t="shared" si="1"/>
        <v>0</v>
      </c>
    </row>
    <row r="9" spans="1:16">
      <c r="A9" t="s">
        <v>54</v>
      </c>
      <c r="B9" t="s">
        <v>18</v>
      </c>
      <c r="C9" t="s">
        <v>76</v>
      </c>
      <c r="D9" s="3">
        <v>46204</v>
      </c>
      <c r="E9" s="4">
        <v>0.70833333333333337</v>
      </c>
      <c r="F9" t="s">
        <v>56</v>
      </c>
      <c r="G9" t="s">
        <v>57</v>
      </c>
      <c r="H9" t="s">
        <v>18</v>
      </c>
      <c r="I9" s="1">
        <v>68827</v>
      </c>
      <c r="J9" t="s">
        <v>51</v>
      </c>
      <c r="K9" s="2" t="b">
        <v>1</v>
      </c>
      <c r="L9">
        <v>17</v>
      </c>
      <c r="M9">
        <v>64</v>
      </c>
      <c r="N9">
        <f t="shared" si="0"/>
        <v>81</v>
      </c>
      <c r="P9" s="10">
        <f t="shared" si="1"/>
        <v>0</v>
      </c>
    </row>
    <row r="10" spans="1:16">
      <c r="A10" t="s">
        <v>58</v>
      </c>
      <c r="B10" t="s">
        <v>74</v>
      </c>
      <c r="C10" t="s">
        <v>78</v>
      </c>
      <c r="D10" s="3">
        <v>46205</v>
      </c>
      <c r="E10" s="4">
        <v>0.83333333333333337</v>
      </c>
      <c r="F10" t="s">
        <v>91</v>
      </c>
      <c r="G10" t="s">
        <v>62</v>
      </c>
      <c r="H10" t="s">
        <v>92</v>
      </c>
      <c r="I10" s="1">
        <v>52497</v>
      </c>
      <c r="J10" t="s">
        <v>51</v>
      </c>
      <c r="K10" s="2" t="b">
        <v>0</v>
      </c>
      <c r="L10">
        <v>19</v>
      </c>
      <c r="M10">
        <v>28</v>
      </c>
      <c r="N10">
        <f>L10+M10</f>
        <v>47</v>
      </c>
      <c r="P10" s="10">
        <f t="shared" si="1"/>
        <v>0</v>
      </c>
    </row>
    <row r="11" spans="1:16">
      <c r="A11" t="s">
        <v>63</v>
      </c>
      <c r="B11" t="s">
        <v>72</v>
      </c>
      <c r="C11" t="s">
        <v>93</v>
      </c>
      <c r="D11" s="3">
        <v>46206</v>
      </c>
      <c r="E11" s="4">
        <v>0.75</v>
      </c>
      <c r="F11" t="s">
        <v>41</v>
      </c>
      <c r="G11" t="s">
        <v>42</v>
      </c>
      <c r="H11" t="s">
        <v>18</v>
      </c>
      <c r="I11">
        <v>64478</v>
      </c>
      <c r="J11" t="s">
        <v>51</v>
      </c>
      <c r="K11" s="2" t="b">
        <v>0</v>
      </c>
      <c r="L11">
        <v>1</v>
      </c>
      <c r="M11">
        <v>67</v>
      </c>
      <c r="N11">
        <f t="shared" si="0"/>
        <v>68</v>
      </c>
      <c r="P11" s="10">
        <f t="shared" si="1"/>
        <v>0</v>
      </c>
    </row>
    <row r="12" spans="1:16">
      <c r="A12" t="s">
        <v>66</v>
      </c>
      <c r="D12" s="3">
        <v>46222</v>
      </c>
      <c r="F12" t="s">
        <v>94</v>
      </c>
      <c r="G12" t="s">
        <v>71</v>
      </c>
      <c r="H12" t="s">
        <v>18</v>
      </c>
      <c r="I12" s="1">
        <v>80663</v>
      </c>
      <c r="J12" t="s">
        <v>69</v>
      </c>
      <c r="K12" s="2" t="b">
        <v>0</v>
      </c>
      <c r="N12">
        <f t="shared" si="0"/>
        <v>0</v>
      </c>
      <c r="P12" s="10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2026-06-20T22:42:40Z</dcterms:created>
  <dcterms:modified xsi:type="dcterms:W3CDTF">2026-06-29T18:37:22Z</dcterms:modified>
  <cp:category/>
  <cp:contentStatus/>
</cp:coreProperties>
</file>