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9D4A9B0A-28E7-40B8-8FD2-F62F6777D6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_Data" sheetId="1" r:id="rId1"/>
    <sheet name="Game_Inde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9" i="2"/>
  <c r="N8" i="2"/>
  <c r="N11" i="2"/>
  <c r="N10" i="2"/>
  <c r="N12" i="2"/>
  <c r="N2" i="2"/>
  <c r="M3" i="1"/>
  <c r="M4" i="1"/>
  <c r="M5" i="1"/>
  <c r="M6" i="1"/>
  <c r="M9" i="1"/>
  <c r="M8" i="1"/>
  <c r="M11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2" i="1"/>
</calcChain>
</file>

<file path=xl/sharedStrings.xml><?xml version="1.0" encoding="utf-8"?>
<sst xmlns="http://schemas.openxmlformats.org/spreadsheetml/2006/main" count="168" uniqueCount="77">
  <si>
    <t xml:space="preserve">game_id </t>
  </si>
  <si>
    <t>observation_data</t>
  </si>
  <si>
    <t>days_to_kickoff</t>
  </si>
  <si>
    <t>team_1</t>
  </si>
  <si>
    <t>team_2</t>
  </si>
  <si>
    <t>round</t>
  </si>
  <si>
    <t>venue</t>
  </si>
  <si>
    <t>city</t>
  </si>
  <si>
    <t>capacity</t>
  </si>
  <si>
    <t>host_nation</t>
  </si>
  <si>
    <t>t1_fifa_rank</t>
  </si>
  <si>
    <t>t2_fifa_rank</t>
  </si>
  <si>
    <t xml:space="preserve">combined_rank </t>
  </si>
  <si>
    <t>min_price</t>
  </si>
  <si>
    <t>median_price</t>
  </si>
  <si>
    <t>listings_count</t>
  </si>
  <si>
    <t>G01</t>
  </si>
  <si>
    <t>USA</t>
  </si>
  <si>
    <t>Turkey</t>
  </si>
  <si>
    <t>Group Stage</t>
  </si>
  <si>
    <t>Los Angeles Stadium</t>
  </si>
  <si>
    <t>Los Angeles</t>
  </si>
  <si>
    <t>All at 2:00pm</t>
  </si>
  <si>
    <t>G02</t>
  </si>
  <si>
    <t>Japan</t>
  </si>
  <si>
    <t>Sweden</t>
  </si>
  <si>
    <t>Dallas Stadium</t>
  </si>
  <si>
    <t>Dallas</t>
  </si>
  <si>
    <t>G03</t>
  </si>
  <si>
    <t>Curacao</t>
  </si>
  <si>
    <t>Ivory Coast</t>
  </si>
  <si>
    <t>Philadelphia Stadium</t>
  </si>
  <si>
    <t>Philadelphia</t>
  </si>
  <si>
    <t>G04</t>
  </si>
  <si>
    <t>France</t>
  </si>
  <si>
    <t>Norway</t>
  </si>
  <si>
    <t>Boston Stadium</t>
  </si>
  <si>
    <t>Boston</t>
  </si>
  <si>
    <t>G05</t>
  </si>
  <si>
    <t>Cape Verde</t>
  </si>
  <si>
    <t>Saudi Arabia</t>
  </si>
  <si>
    <t>Miami Stadium</t>
  </si>
  <si>
    <t>Miami</t>
  </si>
  <si>
    <t>Note: At 4:30, 6/21, med: 8815, min: 7475</t>
  </si>
  <si>
    <t>G06</t>
  </si>
  <si>
    <t>Spain</t>
  </si>
  <si>
    <t>Uruguay</t>
  </si>
  <si>
    <t>Estadio Akron</t>
  </si>
  <si>
    <t>Guadalajara</t>
  </si>
  <si>
    <t>G07</t>
  </si>
  <si>
    <t>Mexico</t>
  </si>
  <si>
    <t>TBD</t>
  </si>
  <si>
    <t>Round of 32</t>
  </si>
  <si>
    <t>Estadio Azteca</t>
  </si>
  <si>
    <t>Mexico City</t>
  </si>
  <si>
    <t>G08</t>
  </si>
  <si>
    <t>San Francisco Bay Area Stadium</t>
  </si>
  <si>
    <t>San Francisco</t>
  </si>
  <si>
    <t>G09</t>
  </si>
  <si>
    <t>1B</t>
  </si>
  <si>
    <t>3EFGIJ</t>
  </si>
  <si>
    <t>BC Place</t>
  </si>
  <si>
    <t>Vancouver</t>
  </si>
  <si>
    <t>G10</t>
  </si>
  <si>
    <t>Argentina</t>
  </si>
  <si>
    <t>G11</t>
  </si>
  <si>
    <t>Final</t>
  </si>
  <si>
    <t>game_id</t>
  </si>
  <si>
    <t>date</t>
  </si>
  <si>
    <t>kickoff_time</t>
  </si>
  <si>
    <t>country</t>
  </si>
  <si>
    <t>combined_rank</t>
  </si>
  <si>
    <t>official_attentance</t>
  </si>
  <si>
    <t>fill_rate</t>
  </si>
  <si>
    <t xml:space="preserve">Mexico </t>
  </si>
  <si>
    <t>Canada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</si>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</sst>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409]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pane ySplit="1" topLeftCell="E2" activePane="bottomLeft" state="frozen"/>
      <selection pane="bottomLeft" activeCell="I13" sqref="I13"/>
    </sheetView>
  </sheetViews>
  <sheetFormatPr defaultRowHeight="15"/>
  <cols>
    <col min="2" max="2" width="16.140625" style="3" bestFit="1" customWidth="1"/>
    <col min="3" max="3" width="14.5703125" bestFit="1" customWidth="1"/>
    <col min="4" max="4" width="10.85546875" bestFit="1" customWidth="1"/>
    <col min="5" max="5" width="11.7109375" bestFit="1" customWidth="1"/>
    <col min="6" max="6" width="11.5703125" bestFit="1" customWidth="1"/>
    <col min="7" max="7" width="28.5703125" bestFit="1" customWidth="1"/>
    <col min="8" max="8" width="12.5703125" bestFit="1" customWidth="1"/>
    <col min="10" max="10" width="11.28515625" bestFit="1" customWidth="1"/>
    <col min="11" max="12" width="11.42578125" bestFit="1" customWidth="1"/>
    <col min="13" max="13" width="15" bestFit="1" customWidth="1"/>
    <col min="14" max="14" width="9.5703125" bestFit="1" customWidth="1"/>
    <col min="15" max="15" width="12.85546875" bestFit="1" customWidth="1"/>
    <col min="16" max="16" width="13" bestFit="1" customWidth="1"/>
    <col min="17" max="17" width="40.42578125" customWidth="1"/>
  </cols>
  <sheetData>
    <row r="1" spans="1:17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 t="s">
        <v>16</v>
      </c>
      <c r="B2" s="3">
        <v>46194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70492</v>
      </c>
      <c r="J2" s="2" t="b">
        <v>1</v>
      </c>
      <c r="K2">
        <v>17</v>
      </c>
      <c r="L2">
        <v>22</v>
      </c>
      <c r="M2">
        <f>K2+L2</f>
        <v>39</v>
      </c>
      <c r="N2">
        <v>1035</v>
      </c>
      <c r="O2">
        <v>2875</v>
      </c>
      <c r="P2">
        <v>1324</v>
      </c>
      <c r="Q2" t="s">
        <v>22</v>
      </c>
    </row>
    <row r="3" spans="1:17">
      <c r="A3" t="s">
        <v>23</v>
      </c>
      <c r="B3" s="3">
        <v>46194</v>
      </c>
      <c r="D3" t="s">
        <v>24</v>
      </c>
      <c r="E3" t="s">
        <v>25</v>
      </c>
      <c r="F3" t="s">
        <v>19</v>
      </c>
      <c r="G3" t="s">
        <v>26</v>
      </c>
      <c r="H3" t="s">
        <v>27</v>
      </c>
      <c r="I3" s="1">
        <v>70122</v>
      </c>
      <c r="J3" s="2" t="b">
        <v>0</v>
      </c>
      <c r="K3">
        <v>18</v>
      </c>
      <c r="L3">
        <v>38</v>
      </c>
      <c r="M3">
        <f t="shared" ref="M3:M37" si="0">K3+L3</f>
        <v>56</v>
      </c>
      <c r="N3">
        <v>748</v>
      </c>
      <c r="O3">
        <v>2243</v>
      </c>
      <c r="P3">
        <v>433</v>
      </c>
    </row>
    <row r="4" spans="1:17">
      <c r="A4" t="s">
        <v>28</v>
      </c>
      <c r="B4" s="3">
        <v>46194</v>
      </c>
      <c r="D4" t="s">
        <v>29</v>
      </c>
      <c r="E4" t="s">
        <v>30</v>
      </c>
      <c r="F4" t="s">
        <v>19</v>
      </c>
      <c r="G4" t="s">
        <v>31</v>
      </c>
      <c r="H4" t="s">
        <v>32</v>
      </c>
      <c r="I4" s="1">
        <v>69796</v>
      </c>
      <c r="J4" s="2" t="b">
        <v>0</v>
      </c>
      <c r="K4">
        <v>82</v>
      </c>
      <c r="L4">
        <v>33</v>
      </c>
      <c r="M4">
        <f t="shared" si="0"/>
        <v>115</v>
      </c>
      <c r="N4">
        <v>437</v>
      </c>
      <c r="O4">
        <v>834</v>
      </c>
      <c r="P4">
        <v>575</v>
      </c>
    </row>
    <row r="5" spans="1:17">
      <c r="A5" t="s">
        <v>33</v>
      </c>
      <c r="B5" s="3">
        <v>46194</v>
      </c>
      <c r="D5" t="s">
        <v>34</v>
      </c>
      <c r="E5" t="s">
        <v>35</v>
      </c>
      <c r="F5" t="s">
        <v>19</v>
      </c>
      <c r="G5" t="s">
        <v>36</v>
      </c>
      <c r="H5" t="s">
        <v>37</v>
      </c>
      <c r="I5" s="1">
        <v>64146</v>
      </c>
      <c r="J5" s="2" t="b">
        <v>0</v>
      </c>
      <c r="K5">
        <v>3</v>
      </c>
      <c r="L5">
        <v>31</v>
      </c>
      <c r="M5">
        <f t="shared" si="0"/>
        <v>34</v>
      </c>
      <c r="N5">
        <v>1725</v>
      </c>
      <c r="O5">
        <v>3450</v>
      </c>
      <c r="P5">
        <v>365</v>
      </c>
    </row>
    <row r="6" spans="1:17">
      <c r="A6" t="s">
        <v>38</v>
      </c>
      <c r="B6" s="3">
        <v>46194</v>
      </c>
      <c r="D6" t="s">
        <v>39</v>
      </c>
      <c r="E6" t="s">
        <v>40</v>
      </c>
      <c r="F6" t="s">
        <v>19</v>
      </c>
      <c r="G6" t="s">
        <v>41</v>
      </c>
      <c r="H6" t="s">
        <v>42</v>
      </c>
      <c r="I6" s="1">
        <v>64478</v>
      </c>
      <c r="J6" s="2" t="b">
        <v>0</v>
      </c>
      <c r="K6">
        <v>67</v>
      </c>
      <c r="L6">
        <v>61</v>
      </c>
      <c r="M6">
        <f t="shared" si="0"/>
        <v>128</v>
      </c>
      <c r="N6">
        <v>403</v>
      </c>
      <c r="O6">
        <v>814</v>
      </c>
      <c r="P6">
        <v>1042</v>
      </c>
      <c r="Q6" s="5" t="s">
        <v>43</v>
      </c>
    </row>
    <row r="7" spans="1:17">
      <c r="A7" t="s">
        <v>44</v>
      </c>
      <c r="B7" s="3">
        <v>46194</v>
      </c>
      <c r="D7" t="s">
        <v>45</v>
      </c>
      <c r="E7" t="s">
        <v>46</v>
      </c>
      <c r="F7" t="s">
        <v>19</v>
      </c>
      <c r="G7" t="s">
        <v>47</v>
      </c>
      <c r="H7" t="s">
        <v>48</v>
      </c>
      <c r="I7">
        <v>49850</v>
      </c>
      <c r="J7" s="2" t="b">
        <v>0</v>
      </c>
      <c r="K7">
        <v>2</v>
      </c>
      <c r="L7">
        <v>16</v>
      </c>
      <c r="M7">
        <v>18</v>
      </c>
      <c r="N7">
        <v>2013</v>
      </c>
      <c r="O7">
        <v>4025</v>
      </c>
      <c r="P7">
        <v>101</v>
      </c>
    </row>
    <row r="8" spans="1:17">
      <c r="A8" t="s">
        <v>49</v>
      </c>
      <c r="B8" s="3">
        <v>46194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>
        <v>87523</v>
      </c>
      <c r="J8" s="2" t="b">
        <v>1</v>
      </c>
      <c r="K8">
        <v>14</v>
      </c>
      <c r="M8">
        <f>K8+L8</f>
        <v>14</v>
      </c>
      <c r="N8">
        <v>2706</v>
      </c>
      <c r="O8">
        <v>6800</v>
      </c>
      <c r="P8">
        <v>281</v>
      </c>
    </row>
    <row r="9" spans="1:17">
      <c r="A9" t="s">
        <v>55</v>
      </c>
      <c r="B9" s="3">
        <v>46194</v>
      </c>
      <c r="D9" t="s">
        <v>17</v>
      </c>
      <c r="E9" t="s">
        <v>51</v>
      </c>
      <c r="F9" t="s">
        <v>52</v>
      </c>
      <c r="G9" t="s">
        <v>56</v>
      </c>
      <c r="H9" t="s">
        <v>57</v>
      </c>
      <c r="I9">
        <v>68827</v>
      </c>
      <c r="J9" s="2" t="b">
        <v>1</v>
      </c>
      <c r="K9">
        <v>17</v>
      </c>
      <c r="M9">
        <f t="shared" si="0"/>
        <v>17</v>
      </c>
      <c r="N9">
        <v>2875</v>
      </c>
      <c r="O9">
        <v>6400</v>
      </c>
      <c r="P9">
        <v>1438</v>
      </c>
    </row>
    <row r="10" spans="1:17">
      <c r="A10" t="s">
        <v>58</v>
      </c>
      <c r="B10" s="3">
        <v>46194</v>
      </c>
      <c r="D10" t="s">
        <v>59</v>
      </c>
      <c r="E10" t="s">
        <v>60</v>
      </c>
      <c r="F10" t="s">
        <v>52</v>
      </c>
      <c r="G10" t="s">
        <v>61</v>
      </c>
      <c r="H10" t="s">
        <v>62</v>
      </c>
      <c r="I10">
        <v>54500</v>
      </c>
      <c r="J10" s="2" t="b">
        <v>0</v>
      </c>
      <c r="M10">
        <f>K10+L10</f>
        <v>0</v>
      </c>
      <c r="N10">
        <v>1035</v>
      </c>
      <c r="O10">
        <v>2054</v>
      </c>
      <c r="P10">
        <v>647</v>
      </c>
    </row>
    <row r="11" spans="1:17">
      <c r="A11" t="s">
        <v>63</v>
      </c>
      <c r="B11" s="3">
        <v>46194</v>
      </c>
      <c r="D11" t="s">
        <v>64</v>
      </c>
      <c r="E11" t="s">
        <v>51</v>
      </c>
      <c r="F11" t="s">
        <v>52</v>
      </c>
      <c r="G11" t="s">
        <v>41</v>
      </c>
      <c r="H11" t="s">
        <v>42</v>
      </c>
      <c r="I11">
        <v>64478</v>
      </c>
      <c r="J11" s="2" t="b">
        <v>0</v>
      </c>
      <c r="K11">
        <v>1</v>
      </c>
      <c r="M11">
        <f t="shared" si="0"/>
        <v>1</v>
      </c>
      <c r="N11">
        <v>3219</v>
      </c>
      <c r="O11">
        <v>5750</v>
      </c>
      <c r="P11">
        <v>946</v>
      </c>
    </row>
    <row r="12" spans="1:17">
      <c r="A12" t="s">
        <v>65</v>
      </c>
      <c r="B12" s="3">
        <v>46194</v>
      </c>
      <c r="D12" t="s">
        <v>51</v>
      </c>
      <c r="E12" t="s">
        <v>51</v>
      </c>
      <c r="F12" t="s">
        <v>66</v>
      </c>
      <c r="J12" s="2" t="b">
        <v>0</v>
      </c>
      <c r="M12">
        <f t="shared" si="0"/>
        <v>0</v>
      </c>
      <c r="N12">
        <v>12190</v>
      </c>
      <c r="O12">
        <v>27140</v>
      </c>
      <c r="P12">
        <v>426</v>
      </c>
    </row>
    <row r="13" spans="1:17">
      <c r="J13" s="2" t="b">
        <v>0</v>
      </c>
      <c r="M13">
        <f t="shared" si="0"/>
        <v>0</v>
      </c>
    </row>
    <row r="14" spans="1:17">
      <c r="J14" s="2" t="b">
        <v>0</v>
      </c>
      <c r="M14">
        <f t="shared" si="0"/>
        <v>0</v>
      </c>
    </row>
    <row r="15" spans="1:17">
      <c r="J15" s="2" t="b">
        <v>0</v>
      </c>
      <c r="M15">
        <f t="shared" si="0"/>
        <v>0</v>
      </c>
    </row>
    <row r="16" spans="1:17">
      <c r="J16" s="2" t="b">
        <v>0</v>
      </c>
      <c r="M16">
        <f t="shared" si="0"/>
        <v>0</v>
      </c>
    </row>
    <row r="17" spans="4:13">
      <c r="J17" s="2" t="b">
        <v>0</v>
      </c>
      <c r="M17">
        <f t="shared" si="0"/>
        <v>0</v>
      </c>
    </row>
    <row r="18" spans="4:13">
      <c r="D18" s="3"/>
      <c r="J18" s="2" t="b">
        <v>0</v>
      </c>
      <c r="M18">
        <f t="shared" si="0"/>
        <v>0</v>
      </c>
    </row>
    <row r="19" spans="4:13">
      <c r="J19" s="2" t="b">
        <v>0</v>
      </c>
      <c r="M19">
        <f t="shared" si="0"/>
        <v>0</v>
      </c>
    </row>
    <row r="20" spans="4:13">
      <c r="J20" s="2" t="b">
        <v>0</v>
      </c>
      <c r="M20">
        <f t="shared" si="0"/>
        <v>0</v>
      </c>
    </row>
    <row r="21" spans="4:13">
      <c r="J21" s="2" t="b">
        <v>0</v>
      </c>
      <c r="M21">
        <f t="shared" si="0"/>
        <v>0</v>
      </c>
    </row>
    <row r="22" spans="4:13">
      <c r="J22" s="2" t="b">
        <v>0</v>
      </c>
      <c r="M22">
        <f t="shared" si="0"/>
        <v>0</v>
      </c>
    </row>
    <row r="23" spans="4:13">
      <c r="J23" s="2" t="b">
        <v>0</v>
      </c>
      <c r="M23">
        <f t="shared" si="0"/>
        <v>0</v>
      </c>
    </row>
    <row r="24" spans="4:13">
      <c r="J24" s="2" t="b">
        <v>0</v>
      </c>
      <c r="M24">
        <f t="shared" si="0"/>
        <v>0</v>
      </c>
    </row>
    <row r="25" spans="4:13">
      <c r="J25" s="2" t="b">
        <v>0</v>
      </c>
      <c r="M25">
        <f t="shared" si="0"/>
        <v>0</v>
      </c>
    </row>
    <row r="26" spans="4:13">
      <c r="J26" s="2" t="b">
        <v>0</v>
      </c>
      <c r="M26">
        <f t="shared" si="0"/>
        <v>0</v>
      </c>
    </row>
    <row r="27" spans="4:13">
      <c r="J27" s="2" t="b">
        <v>0</v>
      </c>
      <c r="M27">
        <f t="shared" si="0"/>
        <v>0</v>
      </c>
    </row>
    <row r="28" spans="4:13">
      <c r="J28" s="2" t="b">
        <v>0</v>
      </c>
      <c r="M28">
        <f t="shared" si="0"/>
        <v>0</v>
      </c>
    </row>
    <row r="29" spans="4:13">
      <c r="J29" s="2" t="b">
        <v>0</v>
      </c>
      <c r="M29">
        <f t="shared" si="0"/>
        <v>0</v>
      </c>
    </row>
    <row r="30" spans="4:13">
      <c r="J30" s="2" t="b">
        <v>0</v>
      </c>
      <c r="M30">
        <f t="shared" si="0"/>
        <v>0</v>
      </c>
    </row>
    <row r="31" spans="4:13">
      <c r="J31" s="2" t="b">
        <v>0</v>
      </c>
      <c r="M31">
        <f t="shared" si="0"/>
        <v>0</v>
      </c>
    </row>
    <row r="32" spans="4:13">
      <c r="J32" s="2" t="b">
        <v>0</v>
      </c>
      <c r="M32">
        <f t="shared" si="0"/>
        <v>0</v>
      </c>
    </row>
    <row r="33" spans="10:13">
      <c r="J33" s="2" t="b">
        <v>0</v>
      </c>
      <c r="M33">
        <f t="shared" si="0"/>
        <v>0</v>
      </c>
    </row>
    <row r="34" spans="10:13">
      <c r="J34" s="2" t="b">
        <v>0</v>
      </c>
      <c r="M34">
        <f t="shared" si="0"/>
        <v>0</v>
      </c>
    </row>
    <row r="35" spans="10:13">
      <c r="J35" s="2" t="b">
        <v>0</v>
      </c>
      <c r="M35">
        <f t="shared" si="0"/>
        <v>0</v>
      </c>
    </row>
    <row r="36" spans="10:13">
      <c r="J36" s="2" t="b">
        <v>0</v>
      </c>
      <c r="M36">
        <f t="shared" si="0"/>
        <v>0</v>
      </c>
    </row>
    <row r="37" spans="10:13">
      <c r="J37" s="2" t="b">
        <v>0</v>
      </c>
      <c r="M37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4440-A0F6-42AA-913A-289336657820}">
  <dimension ref="A1:P12"/>
  <sheetViews>
    <sheetView workbookViewId="0">
      <pane ySplit="1" topLeftCell="A2" activePane="bottomLeft" state="frozen"/>
      <selection pane="bottomLeft" activeCell="J15" sqref="J15"/>
    </sheetView>
  </sheetViews>
  <sheetFormatPr defaultRowHeight="15"/>
  <cols>
    <col min="1" max="1" width="24.5703125" bestFit="1" customWidth="1"/>
    <col min="2" max="2" width="10.85546875" bestFit="1" customWidth="1"/>
    <col min="3" max="3" width="11.7109375" bestFit="1" customWidth="1"/>
    <col min="4" max="4" width="10.140625" style="3" bestFit="1" customWidth="1"/>
    <col min="5" max="5" width="11.7109375" style="4" bestFit="1" customWidth="1"/>
    <col min="6" max="6" width="28.5703125" bestFit="1" customWidth="1"/>
    <col min="7" max="7" width="12.5703125" bestFit="1" customWidth="1"/>
    <col min="10" max="10" width="11.5703125" bestFit="1" customWidth="1"/>
    <col min="11" max="11" width="11.28515625" bestFit="1" customWidth="1"/>
    <col min="12" max="13" width="11.42578125" bestFit="1" customWidth="1"/>
    <col min="14" max="14" width="14.42578125" bestFit="1" customWidth="1"/>
    <col min="15" max="15" width="17.28515625" bestFit="1" customWidth="1"/>
  </cols>
  <sheetData>
    <row r="1" spans="1:16">
      <c r="A1" t="s">
        <v>67</v>
      </c>
      <c r="B1" t="s">
        <v>3</v>
      </c>
      <c r="C1" t="s">
        <v>4</v>
      </c>
      <c r="D1" s="3" t="s">
        <v>68</v>
      </c>
      <c r="E1" s="4" t="s">
        <v>69</v>
      </c>
      <c r="F1" t="s">
        <v>6</v>
      </c>
      <c r="G1" t="s">
        <v>7</v>
      </c>
      <c r="H1" t="s">
        <v>70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71</v>
      </c>
      <c r="O1" t="s">
        <v>72</v>
      </c>
      <c r="P1" t="s">
        <v>73</v>
      </c>
    </row>
    <row r="2" spans="1:16">
      <c r="A2" t="s">
        <v>16</v>
      </c>
      <c r="B2" t="s">
        <v>17</v>
      </c>
      <c r="C2" t="s">
        <v>18</v>
      </c>
      <c r="D2" s="3">
        <v>46198</v>
      </c>
      <c r="E2" s="4">
        <v>0.79166666666666663</v>
      </c>
      <c r="F2" t="s">
        <v>20</v>
      </c>
      <c r="G2" t="s">
        <v>21</v>
      </c>
      <c r="H2" t="s">
        <v>17</v>
      </c>
      <c r="I2" s="1">
        <v>70492</v>
      </c>
      <c r="J2" t="s">
        <v>19</v>
      </c>
      <c r="K2" s="2" t="b">
        <v>1</v>
      </c>
      <c r="L2">
        <v>17</v>
      </c>
      <c r="M2">
        <v>22</v>
      </c>
      <c r="N2">
        <f>L2+M2</f>
        <v>39</v>
      </c>
    </row>
    <row r="3" spans="1:16">
      <c r="A3" t="s">
        <v>23</v>
      </c>
      <c r="B3" t="s">
        <v>24</v>
      </c>
      <c r="C3" t="s">
        <v>25</v>
      </c>
      <c r="D3" s="3">
        <v>46198</v>
      </c>
      <c r="E3" s="4">
        <v>0.75</v>
      </c>
      <c r="F3" t="s">
        <v>26</v>
      </c>
      <c r="G3" t="s">
        <v>27</v>
      </c>
      <c r="H3" t="s">
        <v>17</v>
      </c>
      <c r="I3" s="1">
        <v>70122</v>
      </c>
      <c r="J3" t="s">
        <v>19</v>
      </c>
      <c r="K3" s="2" t="b">
        <v>0</v>
      </c>
      <c r="L3">
        <v>18</v>
      </c>
      <c r="M3">
        <v>38</v>
      </c>
      <c r="N3">
        <f t="shared" ref="N3:N12" si="0">L3+M3</f>
        <v>56</v>
      </c>
    </row>
    <row r="4" spans="1:16">
      <c r="A4" t="s">
        <v>28</v>
      </c>
      <c r="B4" t="s">
        <v>29</v>
      </c>
      <c r="C4" t="s">
        <v>30</v>
      </c>
      <c r="D4" s="3">
        <v>46198</v>
      </c>
      <c r="E4" s="4">
        <v>0.66666666666666663</v>
      </c>
      <c r="F4" t="s">
        <v>31</v>
      </c>
      <c r="G4" t="s">
        <v>32</v>
      </c>
      <c r="H4" t="s">
        <v>17</v>
      </c>
      <c r="I4" s="1">
        <v>69796</v>
      </c>
      <c r="J4" t="s">
        <v>19</v>
      </c>
      <c r="K4" s="2" t="b">
        <v>0</v>
      </c>
      <c r="L4">
        <v>82</v>
      </c>
      <c r="M4">
        <v>33</v>
      </c>
      <c r="N4">
        <f t="shared" si="0"/>
        <v>115</v>
      </c>
    </row>
    <row r="5" spans="1:16">
      <c r="A5" t="s">
        <v>33</v>
      </c>
      <c r="B5" t="s">
        <v>34</v>
      </c>
      <c r="C5" t="s">
        <v>35</v>
      </c>
      <c r="D5" s="3">
        <v>46199</v>
      </c>
      <c r="E5" s="4">
        <v>0.625</v>
      </c>
      <c r="F5" t="s">
        <v>36</v>
      </c>
      <c r="G5" t="s">
        <v>37</v>
      </c>
      <c r="H5" t="s">
        <v>17</v>
      </c>
      <c r="I5" s="1">
        <v>64146</v>
      </c>
      <c r="J5" t="s">
        <v>19</v>
      </c>
      <c r="K5" s="2" t="b">
        <v>0</v>
      </c>
      <c r="L5">
        <v>3</v>
      </c>
      <c r="M5">
        <v>31</v>
      </c>
      <c r="N5">
        <f t="shared" si="0"/>
        <v>34</v>
      </c>
    </row>
    <row r="6" spans="1:16">
      <c r="A6" t="s">
        <v>38</v>
      </c>
      <c r="B6" t="s">
        <v>39</v>
      </c>
      <c r="C6" t="s">
        <v>40</v>
      </c>
      <c r="D6" s="3">
        <v>46199</v>
      </c>
      <c r="E6" s="4">
        <v>0.79166666666666663</v>
      </c>
      <c r="F6" t="s">
        <v>41</v>
      </c>
      <c r="G6" t="s">
        <v>42</v>
      </c>
      <c r="H6" t="s">
        <v>17</v>
      </c>
      <c r="I6" s="1">
        <v>64478</v>
      </c>
      <c r="J6" t="s">
        <v>19</v>
      </c>
      <c r="K6" s="2" t="b">
        <v>0</v>
      </c>
      <c r="L6">
        <v>67</v>
      </c>
      <c r="M6">
        <v>61</v>
      </c>
      <c r="N6">
        <f t="shared" si="0"/>
        <v>128</v>
      </c>
    </row>
    <row r="7" spans="1:16">
      <c r="A7" t="s">
        <v>44</v>
      </c>
      <c r="B7" t="s">
        <v>45</v>
      </c>
      <c r="C7" t="s">
        <v>46</v>
      </c>
      <c r="D7" s="3">
        <v>46199</v>
      </c>
      <c r="E7" s="4">
        <v>0.75</v>
      </c>
      <c r="F7" t="s">
        <v>47</v>
      </c>
      <c r="G7" t="s">
        <v>48</v>
      </c>
      <c r="H7" t="s">
        <v>50</v>
      </c>
      <c r="I7">
        <v>49850</v>
      </c>
      <c r="J7" t="s">
        <v>19</v>
      </c>
      <c r="K7" s="2" t="b">
        <v>0</v>
      </c>
      <c r="L7">
        <v>2</v>
      </c>
      <c r="M7">
        <v>16</v>
      </c>
      <c r="N7">
        <f t="shared" si="0"/>
        <v>18</v>
      </c>
    </row>
    <row r="8" spans="1:16">
      <c r="A8" t="s">
        <v>49</v>
      </c>
      <c r="B8" t="s">
        <v>74</v>
      </c>
      <c r="D8" s="3">
        <v>46203</v>
      </c>
      <c r="E8" s="4">
        <v>0.79166666666666663</v>
      </c>
      <c r="F8" t="s">
        <v>53</v>
      </c>
      <c r="G8" t="s">
        <v>54</v>
      </c>
      <c r="H8" t="s">
        <v>50</v>
      </c>
      <c r="I8">
        <v>87523</v>
      </c>
      <c r="J8" t="s">
        <v>52</v>
      </c>
      <c r="K8" s="2" t="b">
        <v>1</v>
      </c>
      <c r="L8">
        <v>14</v>
      </c>
      <c r="N8">
        <f>L8+M8</f>
        <v>14</v>
      </c>
    </row>
    <row r="9" spans="1:16">
      <c r="A9" t="s">
        <v>55</v>
      </c>
      <c r="B9" t="s">
        <v>17</v>
      </c>
      <c r="D9" s="3">
        <v>46204</v>
      </c>
      <c r="E9" s="4">
        <v>0.70833333333333337</v>
      </c>
      <c r="F9" t="s">
        <v>56</v>
      </c>
      <c r="G9" t="s">
        <v>57</v>
      </c>
      <c r="H9" t="s">
        <v>17</v>
      </c>
      <c r="I9">
        <v>68827</v>
      </c>
      <c r="J9" t="s">
        <v>52</v>
      </c>
      <c r="K9" s="2" t="b">
        <v>1</v>
      </c>
      <c r="L9">
        <v>17</v>
      </c>
      <c r="N9">
        <f t="shared" si="0"/>
        <v>17</v>
      </c>
    </row>
    <row r="10" spans="1:16">
      <c r="A10" t="s">
        <v>58</v>
      </c>
      <c r="B10" t="s">
        <v>59</v>
      </c>
      <c r="D10" s="3">
        <v>46205</v>
      </c>
      <c r="E10" s="4">
        <v>0.83333333333333337</v>
      </c>
      <c r="F10" t="s">
        <v>61</v>
      </c>
      <c r="G10" t="s">
        <v>62</v>
      </c>
      <c r="H10" t="s">
        <v>75</v>
      </c>
      <c r="I10">
        <v>54500</v>
      </c>
      <c r="J10" t="s">
        <v>52</v>
      </c>
      <c r="K10" s="2" t="b">
        <v>0</v>
      </c>
      <c r="N10">
        <f>L10+M10</f>
        <v>0</v>
      </c>
    </row>
    <row r="11" spans="1:16">
      <c r="A11" t="s">
        <v>63</v>
      </c>
      <c r="B11" t="s">
        <v>64</v>
      </c>
      <c r="D11" s="3">
        <v>46206</v>
      </c>
      <c r="E11" s="4">
        <v>0.75</v>
      </c>
      <c r="F11" t="s">
        <v>41</v>
      </c>
      <c r="G11" t="s">
        <v>42</v>
      </c>
      <c r="H11" t="s">
        <v>17</v>
      </c>
      <c r="I11">
        <v>64478</v>
      </c>
      <c r="J11" t="s">
        <v>52</v>
      </c>
      <c r="K11" s="2" t="b">
        <v>0</v>
      </c>
      <c r="L11">
        <v>1</v>
      </c>
      <c r="N11">
        <f t="shared" si="0"/>
        <v>1</v>
      </c>
    </row>
    <row r="12" spans="1:16">
      <c r="A12" t="s">
        <v>65</v>
      </c>
      <c r="G12" t="s">
        <v>76</v>
      </c>
      <c r="H12" t="s">
        <v>17</v>
      </c>
      <c r="I12">
        <v>78576</v>
      </c>
      <c r="J12" t="s">
        <v>66</v>
      </c>
      <c r="K12" s="2" t="b">
        <v>0</v>
      </c>
      <c r="N1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2026-06-20T22:42:40Z</dcterms:created>
  <dcterms:modified xsi:type="dcterms:W3CDTF">2026-06-22T03:47:32Z</dcterms:modified>
  <cp:category/>
  <cp:contentStatus/>
</cp:coreProperties>
</file>