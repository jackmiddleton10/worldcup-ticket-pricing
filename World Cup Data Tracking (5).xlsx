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1FB0BAE2-8596-4299-AA4B-1D3A8DC3A8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_Data" sheetId="1" r:id="rId1"/>
    <sheet name="Game_Inde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3" i="1" l="1"/>
  <c r="Q151" i="1"/>
  <c r="Q149" i="1"/>
  <c r="Q148" i="1"/>
  <c r="Q147" i="1"/>
  <c r="Q145" i="1"/>
  <c r="Q144" i="1"/>
  <c r="Q143" i="1"/>
  <c r="Q142" i="1"/>
  <c r="Q140" i="1"/>
  <c r="Q139" i="1"/>
  <c r="Q138" i="1"/>
  <c r="Q137" i="1"/>
  <c r="Q136" i="1"/>
  <c r="Q134" i="1"/>
  <c r="Q133" i="1"/>
  <c r="Q132" i="1"/>
  <c r="Q131" i="1"/>
  <c r="Q129" i="1"/>
  <c r="Q128" i="1"/>
  <c r="Q127" i="1"/>
  <c r="Q126" i="1"/>
  <c r="Q125" i="1"/>
  <c r="Q3" i="2"/>
  <c r="Q4" i="2"/>
  <c r="Q5" i="2"/>
  <c r="Q6" i="2"/>
  <c r="Q7" i="2"/>
  <c r="Q8" i="2"/>
  <c r="Q9" i="2"/>
  <c r="Q10" i="2"/>
  <c r="Q11" i="2"/>
  <c r="Q12" i="2"/>
  <c r="Q2" i="2"/>
  <c r="Q123" i="1"/>
  <c r="Q122" i="1"/>
  <c r="Q121" i="1"/>
  <c r="Q120" i="1"/>
  <c r="Q119" i="1"/>
  <c r="Q117" i="1"/>
  <c r="Q116" i="1"/>
  <c r="Q115" i="1"/>
  <c r="Q114" i="1"/>
  <c r="Q113" i="1"/>
  <c r="Q111" i="1"/>
  <c r="Q110" i="1"/>
  <c r="Q109" i="1"/>
  <c r="Q108" i="1"/>
  <c r="Q107" i="1"/>
  <c r="Q105" i="1"/>
  <c r="Q103" i="1"/>
  <c r="Q102" i="1"/>
  <c r="Q101" i="1"/>
  <c r="Q100" i="1"/>
  <c r="Q99" i="1"/>
  <c r="Q97" i="1"/>
  <c r="Q96" i="1"/>
  <c r="Q94" i="1"/>
  <c r="Q93" i="1"/>
  <c r="Q92" i="1"/>
  <c r="Q91" i="1"/>
  <c r="Q90" i="1"/>
  <c r="Q88" i="1"/>
  <c r="Q87" i="1"/>
  <c r="Q86" i="1"/>
  <c r="Q85" i="1"/>
  <c r="Q84" i="1"/>
  <c r="Q82" i="1"/>
  <c r="Q81" i="1"/>
  <c r="Q80" i="1"/>
  <c r="Q79" i="1"/>
  <c r="Q77" i="1"/>
  <c r="Q76" i="1"/>
  <c r="Q75" i="1"/>
  <c r="Q74" i="1"/>
  <c r="Q73" i="1"/>
  <c r="Q71" i="1"/>
  <c r="Q70" i="1"/>
  <c r="Q69" i="1"/>
  <c r="Q68" i="1"/>
  <c r="Q66" i="1"/>
  <c r="Q65" i="1"/>
  <c r="Q64" i="1"/>
  <c r="Q63" i="1"/>
  <c r="Q62" i="1"/>
  <c r="Q60" i="1"/>
  <c r="Q59" i="1"/>
  <c r="Q58" i="1"/>
  <c r="Q57" i="1"/>
  <c r="Q56" i="1"/>
  <c r="Q54" i="1"/>
  <c r="Q53" i="1"/>
  <c r="Q52" i="1"/>
  <c r="Q51" i="1"/>
  <c r="Q50" i="1"/>
  <c r="Q48" i="1"/>
  <c r="Q47" i="1"/>
  <c r="Q46" i="1"/>
  <c r="Q45" i="1"/>
  <c r="Q44" i="1"/>
  <c r="Q42" i="1"/>
  <c r="Q41" i="1"/>
  <c r="Q40" i="1"/>
  <c r="Q39" i="1"/>
  <c r="Q38" i="1"/>
  <c r="Q36" i="1"/>
  <c r="Q35" i="1"/>
  <c r="Q34" i="1"/>
  <c r="Q33" i="1"/>
  <c r="Q32" i="1"/>
  <c r="Q30" i="1"/>
  <c r="Q29" i="1"/>
  <c r="Q28" i="1"/>
  <c r="Q27" i="1"/>
  <c r="Q26" i="1"/>
  <c r="Q24" i="1"/>
  <c r="Q23" i="1"/>
  <c r="Q22" i="1"/>
  <c r="Q21" i="1"/>
  <c r="Q20" i="1"/>
  <c r="Q18" i="1"/>
  <c r="Q17" i="1"/>
  <c r="Q16" i="1"/>
  <c r="Q15" i="1"/>
  <c r="Q14" i="1"/>
  <c r="O3" i="2"/>
  <c r="O4" i="2"/>
  <c r="O5" i="2"/>
  <c r="O6" i="2"/>
  <c r="O7" i="2"/>
  <c r="O9" i="2"/>
  <c r="O8" i="2"/>
  <c r="O11" i="2"/>
  <c r="O10" i="2"/>
  <c r="O12" i="2"/>
  <c r="O2" i="2"/>
  <c r="Q3" i="1"/>
  <c r="Q4" i="1"/>
  <c r="Q5" i="1"/>
  <c r="Q6" i="1"/>
  <c r="Q9" i="1"/>
  <c r="Q8" i="1"/>
  <c r="Q11" i="1"/>
  <c r="Q10" i="1"/>
  <c r="Q12" i="1"/>
  <c r="Q2" i="1"/>
</calcChain>
</file>

<file path=xl/sharedStrings.xml><?xml version="1.0" encoding="utf-8"?>
<sst xmlns="http://schemas.openxmlformats.org/spreadsheetml/2006/main" count="1188" uniqueCount="97">
  <si>
    <t>game_id</t>
  </si>
  <si>
    <t>observation_date</t>
  </si>
  <si>
    <t>observation_time</t>
  </si>
  <si>
    <t>days_to_kickoff</t>
  </si>
  <si>
    <t>kickoff_date</t>
  </si>
  <si>
    <t>team_1</t>
  </si>
  <si>
    <t>team_1_actual</t>
  </si>
  <si>
    <t>team_2</t>
  </si>
  <si>
    <t>team_2_actual</t>
  </si>
  <si>
    <t>round</t>
  </si>
  <si>
    <t>venue</t>
  </si>
  <si>
    <t>city</t>
  </si>
  <si>
    <t>capacity</t>
  </si>
  <si>
    <t>host_nation</t>
  </si>
  <si>
    <t>t1_fifa_rank</t>
  </si>
  <si>
    <t>t2_fifa_rank</t>
  </si>
  <si>
    <t xml:space="preserve">combined_rank </t>
  </si>
  <si>
    <t>min_price</t>
  </si>
  <si>
    <t>median_price</t>
  </si>
  <si>
    <t>listings_count</t>
  </si>
  <si>
    <t>G01</t>
  </si>
  <si>
    <t>USA</t>
  </si>
  <si>
    <t>Turkey</t>
  </si>
  <si>
    <t>Group Stage</t>
  </si>
  <si>
    <t>Los Angeles Stadium</t>
  </si>
  <si>
    <t>Los Angeles</t>
  </si>
  <si>
    <t>G02</t>
  </si>
  <si>
    <t>Japan</t>
  </si>
  <si>
    <t>Sweden</t>
  </si>
  <si>
    <t>Dallas Stadium</t>
  </si>
  <si>
    <t>Dallas</t>
  </si>
  <si>
    <t>G03</t>
  </si>
  <si>
    <t>Curacao</t>
  </si>
  <si>
    <t>Ivory Coast</t>
  </si>
  <si>
    <t>Philadelphia Stadium</t>
  </si>
  <si>
    <t>Philadelphia</t>
  </si>
  <si>
    <t>G04</t>
  </si>
  <si>
    <t>France</t>
  </si>
  <si>
    <t>Norway</t>
  </si>
  <si>
    <t>Boston Stadium</t>
  </si>
  <si>
    <t>Boston</t>
  </si>
  <si>
    <t>G05</t>
  </si>
  <si>
    <t>Cape Verde</t>
  </si>
  <si>
    <t>Saudi Arabia</t>
  </si>
  <si>
    <t>Houston Stadium</t>
  </si>
  <si>
    <t>Houston</t>
  </si>
  <si>
    <t>G06</t>
  </si>
  <si>
    <t>Spain</t>
  </si>
  <si>
    <t>Uruguay</t>
  </si>
  <si>
    <t>Guadalajara Stadium</t>
  </si>
  <si>
    <t>Guadalajara</t>
  </si>
  <si>
    <t>G07</t>
  </si>
  <si>
    <t>Mexico</t>
  </si>
  <si>
    <t>3CEFHI</t>
  </si>
  <si>
    <t>Ecuador</t>
  </si>
  <si>
    <t>Round of 32</t>
  </si>
  <si>
    <t>Mexico City Stadium</t>
  </si>
  <si>
    <t>Mexico City</t>
  </si>
  <si>
    <t>G08</t>
  </si>
  <si>
    <t>3BEFIJ</t>
  </si>
  <si>
    <t>Bosnia and Herzegovina</t>
  </si>
  <si>
    <t>San Francisco Bay Area Stadium</t>
  </si>
  <si>
    <t>San Francisco</t>
  </si>
  <si>
    <t>G09</t>
  </si>
  <si>
    <t>1B</t>
  </si>
  <si>
    <t>Switzerland</t>
  </si>
  <si>
    <t>3EFGIJ</t>
  </si>
  <si>
    <t>Algeria</t>
  </si>
  <si>
    <t>BC Place Vancouver Vancouver</t>
  </si>
  <si>
    <t>Vancouver</t>
  </si>
  <si>
    <t>G10</t>
  </si>
  <si>
    <t>1J</t>
  </si>
  <si>
    <t>Argentina</t>
  </si>
  <si>
    <t>2H</t>
  </si>
  <si>
    <t>Miami Stadium</t>
  </si>
  <si>
    <t>Miami</t>
  </si>
  <si>
    <t>G11</t>
  </si>
  <si>
    <t xml:space="preserve">Winner 101 </t>
  </si>
  <si>
    <t>Winner 102</t>
  </si>
  <si>
    <t>Final</t>
  </si>
  <si>
    <t xml:space="preserve">New York New Jersey Stadium </t>
  </si>
  <si>
    <t>New York</t>
  </si>
  <si>
    <t>BC Place Vancouver</t>
  </si>
  <si>
    <t>`</t>
  </si>
  <si>
    <t xml:space="preserve">  </t>
  </si>
  <si>
    <t>date</t>
  </si>
  <si>
    <t>kickoff_time</t>
  </si>
  <si>
    <t>kickoff_time_PST</t>
  </si>
  <si>
    <t>country</t>
  </si>
  <si>
    <t>combined_rank</t>
  </si>
  <si>
    <t>official_attentance</t>
  </si>
  <si>
    <t>fill_rate</t>
  </si>
  <si>
    <t xml:space="preserve">Mexico </t>
  </si>
  <si>
    <t>Canada</t>
  </si>
  <si>
    <t xml:space="preserve">Cape Verde </t>
  </si>
  <si>
    <t>Winner 101</t>
  </si>
  <si>
    <t>New York New Jersey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</si>
</sst>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409]h:mm\ AM/P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0" fontId="1" fillId="0" borderId="0" xfId="0" applyFont="1"/>
    <xf numFmtId="10" fontId="0" fillId="0" borderId="0" xfId="0" applyNumberFormat="1"/>
    <xf numFmtId="1" fontId="0" fillId="0" borderId="0" xfId="0" applyNumberFormat="1"/>
    <xf numFmtId="1" fontId="2" fillId="0" borderId="0" xfId="0" applyNumberFormat="1" applyFont="1" applyBorder="1"/>
    <xf numFmtId="1" fontId="2" fillId="0" borderId="0" xfId="0" applyNumberFormat="1" applyFont="1"/>
    <xf numFmtId="0" fontId="0" fillId="0" borderId="0" xfId="0" applyAlignment="1">
      <alignment wrapText="1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"/>
  <sheetViews>
    <sheetView tabSelected="1" workbookViewId="0">
      <pane ySplit="1" topLeftCell="G139" activePane="bottomLeft" state="frozen"/>
      <selection pane="bottomLeft" activeCell="T156" sqref="T156"/>
    </sheetView>
  </sheetViews>
  <sheetFormatPr defaultRowHeight="15"/>
  <cols>
    <col min="2" max="2" width="16.28515625" style="2" bestFit="1" customWidth="1"/>
    <col min="3" max="3" width="16.140625" style="3" customWidth="1"/>
    <col min="4" max="4" width="14.5703125" bestFit="1" customWidth="1"/>
    <col min="5" max="5" width="14.5703125" customWidth="1"/>
    <col min="6" max="6" width="11.5703125" bestFit="1" customWidth="1"/>
    <col min="7" max="7" width="14" customWidth="1"/>
    <col min="8" max="8" width="21.7109375" bestFit="1" customWidth="1"/>
    <col min="9" max="9" width="21.7109375" customWidth="1"/>
    <col min="10" max="10" width="11.5703125" bestFit="1" customWidth="1"/>
    <col min="11" max="11" width="28.5703125" bestFit="1" customWidth="1"/>
    <col min="12" max="12" width="12.5703125" bestFit="1" customWidth="1"/>
    <col min="13" max="13" width="9.5703125" style="7" bestFit="1" customWidth="1"/>
    <col min="14" max="14" width="11.28515625" bestFit="1" customWidth="1"/>
    <col min="15" max="16" width="11.42578125" bestFit="1" customWidth="1"/>
    <col min="17" max="17" width="15" bestFit="1" customWidth="1"/>
    <col min="18" max="18" width="9.5703125" bestFit="1" customWidth="1"/>
    <col min="19" max="19" width="12.85546875" bestFit="1" customWidth="1"/>
    <col min="20" max="20" width="13" bestFit="1" customWidth="1"/>
  </cols>
  <sheetData>
    <row r="1" spans="1:20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s="10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2">
        <v>46194</v>
      </c>
      <c r="C2" s="3">
        <v>0.58333333333333337</v>
      </c>
      <c r="D2">
        <v>4</v>
      </c>
      <c r="E2" s="2">
        <v>46198</v>
      </c>
      <c r="F2" t="s">
        <v>21</v>
      </c>
      <c r="G2" t="s">
        <v>21</v>
      </c>
      <c r="H2" t="s">
        <v>22</v>
      </c>
      <c r="I2" t="s">
        <v>22</v>
      </c>
      <c r="J2" t="s">
        <v>23</v>
      </c>
      <c r="K2" t="s">
        <v>24</v>
      </c>
      <c r="L2" t="s">
        <v>25</v>
      </c>
      <c r="M2" s="7">
        <v>70492</v>
      </c>
      <c r="N2" s="1" t="b">
        <v>1</v>
      </c>
      <c r="O2">
        <v>17</v>
      </c>
      <c r="P2">
        <v>22</v>
      </c>
      <c r="Q2">
        <f>O2+P2</f>
        <v>39</v>
      </c>
      <c r="R2">
        <v>1035</v>
      </c>
      <c r="S2">
        <v>2875</v>
      </c>
      <c r="T2">
        <v>1324</v>
      </c>
    </row>
    <row r="3" spans="1:20">
      <c r="A3" t="s">
        <v>26</v>
      </c>
      <c r="B3" s="2">
        <v>46194</v>
      </c>
      <c r="C3" s="3">
        <v>0.58333333333333337</v>
      </c>
      <c r="D3">
        <v>4</v>
      </c>
      <c r="E3" s="2">
        <v>46198</v>
      </c>
      <c r="F3" t="s">
        <v>27</v>
      </c>
      <c r="G3" t="s">
        <v>27</v>
      </c>
      <c r="H3" t="s">
        <v>28</v>
      </c>
      <c r="I3" t="s">
        <v>28</v>
      </c>
      <c r="J3" t="s">
        <v>23</v>
      </c>
      <c r="K3" t="s">
        <v>29</v>
      </c>
      <c r="L3" t="s">
        <v>30</v>
      </c>
      <c r="M3" s="7">
        <v>70649</v>
      </c>
      <c r="N3" s="1" t="b">
        <v>0</v>
      </c>
      <c r="O3">
        <v>18</v>
      </c>
      <c r="P3">
        <v>38</v>
      </c>
      <c r="Q3">
        <f t="shared" ref="Q3:Q37" si="0">O3+P3</f>
        <v>56</v>
      </c>
      <c r="R3">
        <v>748</v>
      </c>
      <c r="S3">
        <v>2243</v>
      </c>
      <c r="T3">
        <v>433</v>
      </c>
    </row>
    <row r="4" spans="1:20">
      <c r="A4" t="s">
        <v>31</v>
      </c>
      <c r="B4" s="2">
        <v>46194</v>
      </c>
      <c r="C4" s="3">
        <v>0.58333333333333337</v>
      </c>
      <c r="D4">
        <v>4</v>
      </c>
      <c r="E4" s="2">
        <v>46198</v>
      </c>
      <c r="F4" t="s">
        <v>32</v>
      </c>
      <c r="G4" t="s">
        <v>32</v>
      </c>
      <c r="H4" t="s">
        <v>33</v>
      </c>
      <c r="I4" t="s">
        <v>33</v>
      </c>
      <c r="J4" t="s">
        <v>23</v>
      </c>
      <c r="K4" t="s">
        <v>34</v>
      </c>
      <c r="L4" t="s">
        <v>35</v>
      </c>
      <c r="M4" s="7">
        <v>68324</v>
      </c>
      <c r="N4" s="1" t="b">
        <v>0</v>
      </c>
      <c r="O4">
        <v>82</v>
      </c>
      <c r="P4">
        <v>33</v>
      </c>
      <c r="Q4">
        <f t="shared" si="0"/>
        <v>115</v>
      </c>
      <c r="R4">
        <v>437</v>
      </c>
      <c r="S4">
        <v>834</v>
      </c>
      <c r="T4">
        <v>575</v>
      </c>
    </row>
    <row r="5" spans="1:20">
      <c r="A5" t="s">
        <v>36</v>
      </c>
      <c r="B5" s="2">
        <v>46194</v>
      </c>
      <c r="C5" s="3">
        <v>0.58333333333333337</v>
      </c>
      <c r="D5">
        <v>5</v>
      </c>
      <c r="E5" s="2">
        <v>46199</v>
      </c>
      <c r="F5" t="s">
        <v>37</v>
      </c>
      <c r="G5" t="s">
        <v>37</v>
      </c>
      <c r="H5" t="s">
        <v>38</v>
      </c>
      <c r="I5" t="s">
        <v>38</v>
      </c>
      <c r="J5" t="s">
        <v>23</v>
      </c>
      <c r="K5" t="s">
        <v>39</v>
      </c>
      <c r="L5" t="s">
        <v>40</v>
      </c>
      <c r="M5" s="7">
        <v>64146</v>
      </c>
      <c r="N5" s="1" t="b">
        <v>0</v>
      </c>
      <c r="O5">
        <v>3</v>
      </c>
      <c r="P5">
        <v>31</v>
      </c>
      <c r="Q5">
        <f t="shared" si="0"/>
        <v>34</v>
      </c>
      <c r="R5">
        <v>1725</v>
      </c>
      <c r="S5">
        <v>3450</v>
      </c>
      <c r="T5">
        <v>365</v>
      </c>
    </row>
    <row r="6" spans="1:20">
      <c r="A6" t="s">
        <v>41</v>
      </c>
      <c r="B6" s="2">
        <v>46194</v>
      </c>
      <c r="C6" s="3">
        <v>0.58333333333333337</v>
      </c>
      <c r="D6">
        <v>5</v>
      </c>
      <c r="E6" s="2">
        <v>46199</v>
      </c>
      <c r="F6" t="s">
        <v>42</v>
      </c>
      <c r="G6" t="s">
        <v>42</v>
      </c>
      <c r="H6" t="s">
        <v>43</v>
      </c>
      <c r="I6" t="s">
        <v>43</v>
      </c>
      <c r="J6" t="s">
        <v>23</v>
      </c>
      <c r="K6" t="s">
        <v>44</v>
      </c>
      <c r="L6" t="s">
        <v>45</v>
      </c>
      <c r="M6" s="7">
        <v>68777</v>
      </c>
      <c r="N6" s="1" t="b">
        <v>0</v>
      </c>
      <c r="O6">
        <v>67</v>
      </c>
      <c r="P6">
        <v>61</v>
      </c>
      <c r="Q6">
        <f t="shared" si="0"/>
        <v>128</v>
      </c>
      <c r="R6">
        <v>403</v>
      </c>
      <c r="S6">
        <v>814</v>
      </c>
      <c r="T6">
        <v>1042</v>
      </c>
    </row>
    <row r="7" spans="1:20">
      <c r="A7" t="s">
        <v>46</v>
      </c>
      <c r="B7" s="2">
        <v>46194</v>
      </c>
      <c r="C7" s="3">
        <v>0.58333333333333337</v>
      </c>
      <c r="D7">
        <v>5</v>
      </c>
      <c r="E7" s="2">
        <v>46199</v>
      </c>
      <c r="F7" t="s">
        <v>47</v>
      </c>
      <c r="G7" t="s">
        <v>47</v>
      </c>
      <c r="H7" t="s">
        <v>48</v>
      </c>
      <c r="I7" t="s">
        <v>48</v>
      </c>
      <c r="J7" t="s">
        <v>23</v>
      </c>
      <c r="K7" t="s">
        <v>49</v>
      </c>
      <c r="L7" t="s">
        <v>50</v>
      </c>
      <c r="M7" s="7">
        <v>45664</v>
      </c>
      <c r="N7" s="1" t="b">
        <v>0</v>
      </c>
      <c r="O7">
        <v>2</v>
      </c>
      <c r="P7">
        <v>16</v>
      </c>
      <c r="Q7">
        <v>18</v>
      </c>
      <c r="R7">
        <v>2013</v>
      </c>
      <c r="S7">
        <v>4025</v>
      </c>
      <c r="T7">
        <v>101</v>
      </c>
    </row>
    <row r="8" spans="1:20">
      <c r="A8" t="s">
        <v>51</v>
      </c>
      <c r="B8" s="2">
        <v>46194</v>
      </c>
      <c r="C8" s="3">
        <v>0.58333333333333337</v>
      </c>
      <c r="D8">
        <v>9</v>
      </c>
      <c r="E8" s="2">
        <v>46203</v>
      </c>
      <c r="F8" t="s">
        <v>52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s="7">
        <v>80824</v>
      </c>
      <c r="N8" s="1" t="b">
        <v>1</v>
      </c>
      <c r="O8">
        <v>14</v>
      </c>
      <c r="Q8">
        <f>O8+P8</f>
        <v>14</v>
      </c>
      <c r="R8">
        <v>2706</v>
      </c>
      <c r="S8">
        <v>6800</v>
      </c>
      <c r="T8">
        <v>281</v>
      </c>
    </row>
    <row r="9" spans="1:20">
      <c r="A9" t="s">
        <v>58</v>
      </c>
      <c r="B9" s="2">
        <v>46194</v>
      </c>
      <c r="C9" s="3">
        <v>0.58333333333333337</v>
      </c>
      <c r="D9">
        <v>10</v>
      </c>
      <c r="E9" s="2">
        <v>46204</v>
      </c>
      <c r="F9" t="s">
        <v>21</v>
      </c>
      <c r="G9" t="s">
        <v>21</v>
      </c>
      <c r="H9" t="s">
        <v>59</v>
      </c>
      <c r="I9" t="s">
        <v>60</v>
      </c>
      <c r="J9" t="s">
        <v>55</v>
      </c>
      <c r="K9" t="s">
        <v>61</v>
      </c>
      <c r="L9" t="s">
        <v>62</v>
      </c>
      <c r="M9" s="7">
        <v>68827</v>
      </c>
      <c r="N9" s="1" t="b">
        <v>1</v>
      </c>
      <c r="O9">
        <v>17</v>
      </c>
      <c r="Q9">
        <f t="shared" si="0"/>
        <v>17</v>
      </c>
      <c r="R9">
        <v>2875</v>
      </c>
      <c r="S9">
        <v>6400</v>
      </c>
      <c r="T9">
        <v>1438</v>
      </c>
    </row>
    <row r="10" spans="1:20">
      <c r="A10" t="s">
        <v>63</v>
      </c>
      <c r="B10" s="2">
        <v>46194</v>
      </c>
      <c r="C10" s="3">
        <v>0.58333333333333337</v>
      </c>
      <c r="D10">
        <v>11</v>
      </c>
      <c r="E10" s="2">
        <v>46205</v>
      </c>
      <c r="F10" t="s">
        <v>64</v>
      </c>
      <c r="G10" t="s">
        <v>65</v>
      </c>
      <c r="H10" t="s">
        <v>66</v>
      </c>
      <c r="I10" t="s">
        <v>67</v>
      </c>
      <c r="J10" t="s">
        <v>55</v>
      </c>
      <c r="K10" t="s">
        <v>68</v>
      </c>
      <c r="L10" t="s">
        <v>69</v>
      </c>
      <c r="M10" s="7">
        <v>52497</v>
      </c>
      <c r="N10" s="1" t="b">
        <v>0</v>
      </c>
      <c r="Q10">
        <f>O10+P10</f>
        <v>0</v>
      </c>
      <c r="R10">
        <v>1035</v>
      </c>
      <c r="S10">
        <v>2054</v>
      </c>
      <c r="T10">
        <v>647</v>
      </c>
    </row>
    <row r="11" spans="1:20">
      <c r="A11" t="s">
        <v>70</v>
      </c>
      <c r="B11" s="2">
        <v>46194</v>
      </c>
      <c r="C11" s="3">
        <v>0.58333333333333337</v>
      </c>
      <c r="D11">
        <v>12</v>
      </c>
      <c r="E11" s="2">
        <v>46206</v>
      </c>
      <c r="F11" t="s">
        <v>71</v>
      </c>
      <c r="G11" t="s">
        <v>72</v>
      </c>
      <c r="H11" t="s">
        <v>73</v>
      </c>
      <c r="I11" t="s">
        <v>42</v>
      </c>
      <c r="J11" t="s">
        <v>55</v>
      </c>
      <c r="K11" t="s">
        <v>74</v>
      </c>
      <c r="L11" t="s">
        <v>75</v>
      </c>
      <c r="M11" s="7">
        <v>64478</v>
      </c>
      <c r="N11" s="1" t="b">
        <v>0</v>
      </c>
      <c r="O11">
        <v>1</v>
      </c>
      <c r="Q11">
        <f t="shared" si="0"/>
        <v>1</v>
      </c>
      <c r="R11">
        <v>3219</v>
      </c>
      <c r="S11">
        <v>5750</v>
      </c>
      <c r="T11">
        <v>946</v>
      </c>
    </row>
    <row r="12" spans="1:20">
      <c r="A12" t="s">
        <v>76</v>
      </c>
      <c r="B12" s="2">
        <v>46194</v>
      </c>
      <c r="C12" s="3">
        <v>0.58333333333333337</v>
      </c>
      <c r="D12">
        <v>28</v>
      </c>
      <c r="E12" s="2">
        <v>46222</v>
      </c>
      <c r="F12" t="s">
        <v>77</v>
      </c>
      <c r="G12" t="s">
        <v>77</v>
      </c>
      <c r="H12" t="s">
        <v>78</v>
      </c>
      <c r="I12" t="s">
        <v>78</v>
      </c>
      <c r="J12" t="s">
        <v>79</v>
      </c>
      <c r="K12" t="s">
        <v>80</v>
      </c>
      <c r="L12" t="s">
        <v>81</v>
      </c>
      <c r="M12" s="7">
        <v>80663</v>
      </c>
      <c r="N12" s="1" t="b">
        <v>0</v>
      </c>
      <c r="Q12">
        <f t="shared" si="0"/>
        <v>0</v>
      </c>
      <c r="R12">
        <v>12190</v>
      </c>
      <c r="S12">
        <v>27140</v>
      </c>
      <c r="T12">
        <v>426</v>
      </c>
    </row>
    <row r="13" spans="1:20">
      <c r="N13" s="1" t="b">
        <v>0</v>
      </c>
    </row>
    <row r="14" spans="1:20">
      <c r="A14" t="s">
        <v>20</v>
      </c>
      <c r="B14" s="2">
        <v>46195</v>
      </c>
      <c r="C14" s="3">
        <v>0.41666666666666669</v>
      </c>
      <c r="D14">
        <v>3</v>
      </c>
      <c r="E14" s="2">
        <v>46198</v>
      </c>
      <c r="F14" t="s">
        <v>21</v>
      </c>
      <c r="G14" t="s">
        <v>21</v>
      </c>
      <c r="H14" t="s">
        <v>22</v>
      </c>
      <c r="I14" t="s">
        <v>22</v>
      </c>
      <c r="J14" t="s">
        <v>23</v>
      </c>
      <c r="K14" t="s">
        <v>24</v>
      </c>
      <c r="L14" t="s">
        <v>25</v>
      </c>
      <c r="M14" s="7">
        <v>70492</v>
      </c>
      <c r="N14" s="1" t="b">
        <v>1</v>
      </c>
      <c r="O14">
        <v>17</v>
      </c>
      <c r="P14">
        <v>22</v>
      </c>
      <c r="Q14">
        <f>O14+P14</f>
        <v>39</v>
      </c>
      <c r="R14">
        <v>1578</v>
      </c>
      <c r="S14">
        <v>3703</v>
      </c>
      <c r="T14">
        <v>1619</v>
      </c>
    </row>
    <row r="15" spans="1:20">
      <c r="A15" t="s">
        <v>26</v>
      </c>
      <c r="B15" s="2">
        <v>46195</v>
      </c>
      <c r="C15" s="3">
        <v>0.41666666666666669</v>
      </c>
      <c r="D15">
        <v>3</v>
      </c>
      <c r="E15" s="2">
        <v>46198</v>
      </c>
      <c r="F15" t="s">
        <v>27</v>
      </c>
      <c r="G15" t="s">
        <v>27</v>
      </c>
      <c r="H15" t="s">
        <v>28</v>
      </c>
      <c r="I15" t="s">
        <v>28</v>
      </c>
      <c r="J15" t="s">
        <v>23</v>
      </c>
      <c r="K15" t="s">
        <v>29</v>
      </c>
      <c r="L15" t="s">
        <v>30</v>
      </c>
      <c r="M15" s="7">
        <v>70649</v>
      </c>
      <c r="N15" s="1" t="b">
        <v>0</v>
      </c>
      <c r="O15">
        <v>18</v>
      </c>
      <c r="P15">
        <v>38</v>
      </c>
      <c r="Q15">
        <f t="shared" ref="Q15:Q24" si="1">O15+P15</f>
        <v>56</v>
      </c>
      <c r="R15">
        <v>978</v>
      </c>
      <c r="S15">
        <v>2300</v>
      </c>
      <c r="T15">
        <v>442</v>
      </c>
    </row>
    <row r="16" spans="1:20">
      <c r="A16" t="s">
        <v>31</v>
      </c>
      <c r="B16" s="2">
        <v>46195</v>
      </c>
      <c r="C16" s="3">
        <v>0.41666666666666669</v>
      </c>
      <c r="D16">
        <v>3</v>
      </c>
      <c r="E16" s="2">
        <v>46198</v>
      </c>
      <c r="F16" t="s">
        <v>32</v>
      </c>
      <c r="G16" t="s">
        <v>32</v>
      </c>
      <c r="H16" t="s">
        <v>33</v>
      </c>
      <c r="I16" t="s">
        <v>33</v>
      </c>
      <c r="J16" t="s">
        <v>23</v>
      </c>
      <c r="K16" t="s">
        <v>34</v>
      </c>
      <c r="L16" t="s">
        <v>35</v>
      </c>
      <c r="M16" s="7">
        <v>68324</v>
      </c>
      <c r="N16" s="1" t="b">
        <v>0</v>
      </c>
      <c r="O16">
        <v>82</v>
      </c>
      <c r="P16">
        <v>33</v>
      </c>
      <c r="Q16">
        <f t="shared" si="1"/>
        <v>115</v>
      </c>
      <c r="R16">
        <v>449</v>
      </c>
      <c r="S16">
        <v>880</v>
      </c>
      <c r="T16">
        <v>443</v>
      </c>
    </row>
    <row r="17" spans="1:20">
      <c r="A17" t="s">
        <v>36</v>
      </c>
      <c r="B17" s="2">
        <v>46195</v>
      </c>
      <c r="C17" s="3">
        <v>0.41666666666666669</v>
      </c>
      <c r="D17">
        <v>4</v>
      </c>
      <c r="E17" s="2">
        <v>46199</v>
      </c>
      <c r="F17" t="s">
        <v>37</v>
      </c>
      <c r="G17" t="s">
        <v>37</v>
      </c>
      <c r="H17" t="s">
        <v>38</v>
      </c>
      <c r="I17" t="s">
        <v>38</v>
      </c>
      <c r="J17" t="s">
        <v>23</v>
      </c>
      <c r="K17" t="s">
        <v>39</v>
      </c>
      <c r="L17" t="s">
        <v>40</v>
      </c>
      <c r="M17" s="7">
        <v>64146</v>
      </c>
      <c r="N17" s="1" t="b">
        <v>0</v>
      </c>
      <c r="O17">
        <v>3</v>
      </c>
      <c r="P17">
        <v>31</v>
      </c>
      <c r="Q17">
        <f t="shared" si="1"/>
        <v>34</v>
      </c>
      <c r="R17">
        <v>1725</v>
      </c>
      <c r="S17">
        <v>3450</v>
      </c>
      <c r="T17">
        <v>386</v>
      </c>
    </row>
    <row r="18" spans="1:20">
      <c r="A18" t="s">
        <v>41</v>
      </c>
      <c r="B18" s="2">
        <v>46195</v>
      </c>
      <c r="C18" s="3">
        <v>0.41666666666666669</v>
      </c>
      <c r="D18">
        <v>4</v>
      </c>
      <c r="E18" s="2">
        <v>46199</v>
      </c>
      <c r="F18" t="s">
        <v>42</v>
      </c>
      <c r="G18" t="s">
        <v>42</v>
      </c>
      <c r="H18" t="s">
        <v>43</v>
      </c>
      <c r="I18" t="s">
        <v>43</v>
      </c>
      <c r="J18" t="s">
        <v>23</v>
      </c>
      <c r="K18" t="s">
        <v>44</v>
      </c>
      <c r="L18" t="s">
        <v>45</v>
      </c>
      <c r="M18" s="7">
        <v>68777</v>
      </c>
      <c r="N18" s="1" t="b">
        <v>0</v>
      </c>
      <c r="O18">
        <v>67</v>
      </c>
      <c r="P18">
        <v>61</v>
      </c>
      <c r="Q18">
        <f t="shared" si="1"/>
        <v>128</v>
      </c>
      <c r="R18">
        <v>469</v>
      </c>
      <c r="S18">
        <v>955</v>
      </c>
      <c r="T18">
        <v>628</v>
      </c>
    </row>
    <row r="19" spans="1:20">
      <c r="A19" t="s">
        <v>46</v>
      </c>
      <c r="B19" s="2">
        <v>46195</v>
      </c>
      <c r="C19" s="3">
        <v>0.41666666666666669</v>
      </c>
      <c r="D19">
        <v>4</v>
      </c>
      <c r="E19" s="2">
        <v>46199</v>
      </c>
      <c r="F19" t="s">
        <v>47</v>
      </c>
      <c r="G19" t="s">
        <v>47</v>
      </c>
      <c r="H19" t="s">
        <v>48</v>
      </c>
      <c r="I19" t="s">
        <v>48</v>
      </c>
      <c r="J19" t="s">
        <v>23</v>
      </c>
      <c r="K19" t="s">
        <v>49</v>
      </c>
      <c r="L19" t="s">
        <v>50</v>
      </c>
      <c r="M19" s="7">
        <v>45664</v>
      </c>
      <c r="N19" s="1" t="b">
        <v>0</v>
      </c>
      <c r="O19">
        <v>2</v>
      </c>
      <c r="P19">
        <v>16</v>
      </c>
      <c r="Q19">
        <v>18</v>
      </c>
      <c r="R19">
        <v>2070</v>
      </c>
      <c r="S19">
        <v>3903</v>
      </c>
      <c r="T19">
        <v>44</v>
      </c>
    </row>
    <row r="20" spans="1:20">
      <c r="A20" t="s">
        <v>51</v>
      </c>
      <c r="B20" s="2">
        <v>46195</v>
      </c>
      <c r="C20" s="3">
        <v>0.41666666666666669</v>
      </c>
      <c r="D20">
        <v>8</v>
      </c>
      <c r="E20" s="2">
        <v>46203</v>
      </c>
      <c r="F20" t="s">
        <v>52</v>
      </c>
      <c r="G20" t="s">
        <v>52</v>
      </c>
      <c r="H20" t="s">
        <v>53</v>
      </c>
      <c r="I20" t="s">
        <v>54</v>
      </c>
      <c r="J20" t="s">
        <v>55</v>
      </c>
      <c r="K20" t="s">
        <v>56</v>
      </c>
      <c r="L20" t="s">
        <v>57</v>
      </c>
      <c r="M20" s="7">
        <v>80824</v>
      </c>
      <c r="N20" s="1" t="b">
        <v>1</v>
      </c>
      <c r="O20">
        <v>14</v>
      </c>
      <c r="Q20">
        <f>O20+P20</f>
        <v>14</v>
      </c>
      <c r="R20">
        <v>3347</v>
      </c>
      <c r="S20">
        <v>6785</v>
      </c>
      <c r="T20">
        <v>265</v>
      </c>
    </row>
    <row r="21" spans="1:20">
      <c r="A21" t="s">
        <v>58</v>
      </c>
      <c r="B21" s="2">
        <v>46195</v>
      </c>
      <c r="C21" s="3">
        <v>0.41666666666666669</v>
      </c>
      <c r="D21">
        <v>9</v>
      </c>
      <c r="E21" s="2">
        <v>46204</v>
      </c>
      <c r="F21" t="s">
        <v>21</v>
      </c>
      <c r="G21" t="s">
        <v>21</v>
      </c>
      <c r="H21" t="s">
        <v>59</v>
      </c>
      <c r="I21" t="s">
        <v>60</v>
      </c>
      <c r="J21" t="s">
        <v>55</v>
      </c>
      <c r="K21" t="s">
        <v>61</v>
      </c>
      <c r="L21" t="s">
        <v>62</v>
      </c>
      <c r="M21" s="7">
        <v>68827</v>
      </c>
      <c r="N21" s="1" t="b">
        <v>1</v>
      </c>
      <c r="O21">
        <v>17</v>
      </c>
      <c r="Q21">
        <f t="shared" ref="Q21:Q24" si="2">O21+P21</f>
        <v>17</v>
      </c>
      <c r="R21">
        <v>3048</v>
      </c>
      <c r="S21">
        <v>6325</v>
      </c>
      <c r="T21">
        <v>835</v>
      </c>
    </row>
    <row r="22" spans="1:20">
      <c r="A22" t="s">
        <v>63</v>
      </c>
      <c r="B22" s="2">
        <v>46195</v>
      </c>
      <c r="C22" s="3">
        <v>0.41666666666666669</v>
      </c>
      <c r="D22">
        <v>10</v>
      </c>
      <c r="E22" s="2">
        <v>46205</v>
      </c>
      <c r="F22" t="s">
        <v>64</v>
      </c>
      <c r="G22" t="s">
        <v>65</v>
      </c>
      <c r="H22" t="s">
        <v>66</v>
      </c>
      <c r="I22" t="s">
        <v>67</v>
      </c>
      <c r="J22" t="s">
        <v>55</v>
      </c>
      <c r="K22" t="s">
        <v>82</v>
      </c>
      <c r="L22" t="s">
        <v>69</v>
      </c>
      <c r="M22" s="7">
        <v>52497</v>
      </c>
      <c r="N22" s="1" t="b">
        <v>0</v>
      </c>
      <c r="Q22">
        <f>O22+P22</f>
        <v>0</v>
      </c>
      <c r="R22">
        <v>1486</v>
      </c>
      <c r="S22">
        <v>3048</v>
      </c>
      <c r="T22">
        <v>1257</v>
      </c>
    </row>
    <row r="23" spans="1:20">
      <c r="A23" t="s">
        <v>70</v>
      </c>
      <c r="B23" s="2">
        <v>46195</v>
      </c>
      <c r="C23" s="3">
        <v>0.41666666666666669</v>
      </c>
      <c r="D23">
        <v>11</v>
      </c>
      <c r="E23" s="2">
        <v>46206</v>
      </c>
      <c r="F23" t="s">
        <v>72</v>
      </c>
      <c r="G23" t="s">
        <v>72</v>
      </c>
      <c r="H23" t="s">
        <v>73</v>
      </c>
      <c r="I23" t="s">
        <v>42</v>
      </c>
      <c r="J23" t="s">
        <v>55</v>
      </c>
      <c r="K23" t="s">
        <v>74</v>
      </c>
      <c r="L23" t="s">
        <v>75</v>
      </c>
      <c r="M23" s="7">
        <v>64478</v>
      </c>
      <c r="N23" s="1" t="b">
        <v>0</v>
      </c>
      <c r="O23">
        <v>1</v>
      </c>
      <c r="Q23">
        <f t="shared" ref="Q23:Q24" si="3">O23+P23</f>
        <v>1</v>
      </c>
      <c r="R23">
        <v>3163</v>
      </c>
      <c r="S23">
        <v>5750</v>
      </c>
      <c r="T23">
        <v>1046</v>
      </c>
    </row>
    <row r="24" spans="1:20">
      <c r="A24" t="s">
        <v>76</v>
      </c>
      <c r="B24" s="2">
        <v>46195</v>
      </c>
      <c r="C24" s="3">
        <v>0.41666666666666669</v>
      </c>
      <c r="D24">
        <v>27</v>
      </c>
      <c r="E24" s="2">
        <v>46222</v>
      </c>
      <c r="F24" t="s">
        <v>77</v>
      </c>
      <c r="G24" t="s">
        <v>77</v>
      </c>
      <c r="H24" t="s">
        <v>78</v>
      </c>
      <c r="I24" t="s">
        <v>78</v>
      </c>
      <c r="J24" t="s">
        <v>79</v>
      </c>
      <c r="K24" t="s">
        <v>80</v>
      </c>
      <c r="L24" t="s">
        <v>81</v>
      </c>
      <c r="M24" s="7">
        <v>80663</v>
      </c>
      <c r="N24" s="1" t="b">
        <v>0</v>
      </c>
      <c r="Q24">
        <f t="shared" si="3"/>
        <v>0</v>
      </c>
      <c r="R24">
        <v>17135</v>
      </c>
      <c r="S24">
        <v>39448</v>
      </c>
      <c r="T24">
        <v>398</v>
      </c>
    </row>
    <row r="25" spans="1:20">
      <c r="N25" s="1" t="b">
        <v>0</v>
      </c>
    </row>
    <row r="26" spans="1:20">
      <c r="A26" t="s">
        <v>20</v>
      </c>
      <c r="B26" s="2">
        <v>46195</v>
      </c>
      <c r="C26" s="3">
        <v>0.58333333333333337</v>
      </c>
      <c r="D26">
        <v>3</v>
      </c>
      <c r="E26" s="2">
        <v>46198</v>
      </c>
      <c r="F26" t="s">
        <v>21</v>
      </c>
      <c r="G26" t="s">
        <v>21</v>
      </c>
      <c r="H26" t="s">
        <v>22</v>
      </c>
      <c r="I26" t="s">
        <v>22</v>
      </c>
      <c r="J26" t="s">
        <v>23</v>
      </c>
      <c r="K26" t="s">
        <v>24</v>
      </c>
      <c r="L26" t="s">
        <v>25</v>
      </c>
      <c r="M26" s="7">
        <v>70492</v>
      </c>
      <c r="N26" s="1" t="b">
        <v>1</v>
      </c>
      <c r="O26">
        <v>17</v>
      </c>
      <c r="P26">
        <v>22</v>
      </c>
      <c r="Q26">
        <f>O26+P26</f>
        <v>39</v>
      </c>
      <c r="R26">
        <v>966</v>
      </c>
      <c r="S26">
        <v>2875</v>
      </c>
      <c r="T26">
        <v>1205</v>
      </c>
    </row>
    <row r="27" spans="1:20">
      <c r="A27" t="s">
        <v>26</v>
      </c>
      <c r="B27" s="2">
        <v>46195</v>
      </c>
      <c r="C27" s="3">
        <v>0.58333333333333337</v>
      </c>
      <c r="D27">
        <v>3</v>
      </c>
      <c r="E27" s="2">
        <v>46198</v>
      </c>
      <c r="F27" t="s">
        <v>27</v>
      </c>
      <c r="G27" t="s">
        <v>27</v>
      </c>
      <c r="H27" t="s">
        <v>28</v>
      </c>
      <c r="I27" t="s">
        <v>28</v>
      </c>
      <c r="J27" t="s">
        <v>23</v>
      </c>
      <c r="K27" t="s">
        <v>29</v>
      </c>
      <c r="L27" t="s">
        <v>30</v>
      </c>
      <c r="M27" s="7">
        <v>70649</v>
      </c>
      <c r="N27" s="1" t="b">
        <v>0</v>
      </c>
      <c r="O27">
        <v>18</v>
      </c>
      <c r="P27">
        <v>38</v>
      </c>
      <c r="Q27">
        <f t="shared" ref="Q27:Q36" si="4">O27+P27</f>
        <v>56</v>
      </c>
      <c r="R27">
        <v>677</v>
      </c>
      <c r="S27">
        <v>2300</v>
      </c>
      <c r="T27">
        <v>419</v>
      </c>
    </row>
    <row r="28" spans="1:20">
      <c r="A28" t="s">
        <v>31</v>
      </c>
      <c r="B28" s="2">
        <v>46195</v>
      </c>
      <c r="C28" s="3">
        <v>0.58333333333333337</v>
      </c>
      <c r="D28">
        <v>3</v>
      </c>
      <c r="E28" s="2">
        <v>46198</v>
      </c>
      <c r="F28" t="s">
        <v>32</v>
      </c>
      <c r="G28" t="s">
        <v>32</v>
      </c>
      <c r="H28" t="s">
        <v>33</v>
      </c>
      <c r="I28" t="s">
        <v>33</v>
      </c>
      <c r="J28" t="s">
        <v>23</v>
      </c>
      <c r="K28" t="s">
        <v>34</v>
      </c>
      <c r="L28" t="s">
        <v>35</v>
      </c>
      <c r="M28" s="7">
        <v>68324</v>
      </c>
      <c r="N28" s="1" t="b">
        <v>0</v>
      </c>
      <c r="O28">
        <v>82</v>
      </c>
      <c r="P28">
        <v>33</v>
      </c>
      <c r="Q28">
        <f t="shared" si="4"/>
        <v>115</v>
      </c>
      <c r="R28">
        <v>345</v>
      </c>
      <c r="S28">
        <v>863</v>
      </c>
      <c r="T28">
        <v>477</v>
      </c>
    </row>
    <row r="29" spans="1:20">
      <c r="A29" t="s">
        <v>36</v>
      </c>
      <c r="B29" s="2">
        <v>46195</v>
      </c>
      <c r="C29" s="3">
        <v>0.58333333333333337</v>
      </c>
      <c r="D29">
        <v>4</v>
      </c>
      <c r="E29" s="2">
        <v>46199</v>
      </c>
      <c r="F29" t="s">
        <v>37</v>
      </c>
      <c r="G29" t="s">
        <v>37</v>
      </c>
      <c r="H29" t="s">
        <v>38</v>
      </c>
      <c r="I29" t="s">
        <v>38</v>
      </c>
      <c r="J29" t="s">
        <v>23</v>
      </c>
      <c r="K29" t="s">
        <v>39</v>
      </c>
      <c r="L29" t="s">
        <v>40</v>
      </c>
      <c r="M29" s="7">
        <v>64146</v>
      </c>
      <c r="N29" s="1" t="b">
        <v>0</v>
      </c>
      <c r="O29">
        <v>3</v>
      </c>
      <c r="P29">
        <v>31</v>
      </c>
      <c r="Q29">
        <f t="shared" si="4"/>
        <v>34</v>
      </c>
      <c r="R29">
        <v>1725</v>
      </c>
      <c r="S29">
        <v>3439</v>
      </c>
      <c r="T29">
        <v>379</v>
      </c>
    </row>
    <row r="30" spans="1:20">
      <c r="A30" t="s">
        <v>41</v>
      </c>
      <c r="B30" s="2">
        <v>46195</v>
      </c>
      <c r="C30" s="3">
        <v>0.58333333333333337</v>
      </c>
      <c r="D30">
        <v>4</v>
      </c>
      <c r="E30" s="2">
        <v>46199</v>
      </c>
      <c r="F30" t="s">
        <v>42</v>
      </c>
      <c r="G30" t="s">
        <v>42</v>
      </c>
      <c r="H30" t="s">
        <v>43</v>
      </c>
      <c r="I30" t="s">
        <v>43</v>
      </c>
      <c r="J30" t="s">
        <v>23</v>
      </c>
      <c r="K30" t="s">
        <v>44</v>
      </c>
      <c r="L30" t="s">
        <v>45</v>
      </c>
      <c r="M30" s="7">
        <v>68777</v>
      </c>
      <c r="N30" s="1" t="b">
        <v>0</v>
      </c>
      <c r="O30">
        <v>67</v>
      </c>
      <c r="P30">
        <v>61</v>
      </c>
      <c r="Q30">
        <f t="shared" si="4"/>
        <v>128</v>
      </c>
      <c r="R30">
        <v>518</v>
      </c>
      <c r="S30">
        <v>978</v>
      </c>
      <c r="T30">
        <v>800</v>
      </c>
    </row>
    <row r="31" spans="1:20">
      <c r="A31" t="s">
        <v>46</v>
      </c>
      <c r="B31" s="2">
        <v>46195</v>
      </c>
      <c r="C31" s="3">
        <v>0.58333333333333337</v>
      </c>
      <c r="D31">
        <v>4</v>
      </c>
      <c r="E31" s="2">
        <v>46199</v>
      </c>
      <c r="F31" t="s">
        <v>47</v>
      </c>
      <c r="G31" t="s">
        <v>47</v>
      </c>
      <c r="H31" t="s">
        <v>48</v>
      </c>
      <c r="I31" t="s">
        <v>48</v>
      </c>
      <c r="J31" t="s">
        <v>23</v>
      </c>
      <c r="K31" t="s">
        <v>49</v>
      </c>
      <c r="L31" t="s">
        <v>50</v>
      </c>
      <c r="M31" s="7">
        <v>45664</v>
      </c>
      <c r="N31" s="1" t="b">
        <v>0</v>
      </c>
      <c r="O31">
        <v>2</v>
      </c>
      <c r="P31">
        <v>16</v>
      </c>
      <c r="Q31">
        <v>18</v>
      </c>
      <c r="R31">
        <v>2300</v>
      </c>
      <c r="S31">
        <v>4025</v>
      </c>
      <c r="T31">
        <v>116</v>
      </c>
    </row>
    <row r="32" spans="1:20">
      <c r="A32" t="s">
        <v>51</v>
      </c>
      <c r="B32" s="2">
        <v>46195</v>
      </c>
      <c r="C32" s="3">
        <v>0.58333333333333337</v>
      </c>
      <c r="D32">
        <v>8</v>
      </c>
      <c r="E32" s="2">
        <v>46203</v>
      </c>
      <c r="F32" t="s">
        <v>52</v>
      </c>
      <c r="G32" t="s">
        <v>52</v>
      </c>
      <c r="H32" t="s">
        <v>53</v>
      </c>
      <c r="I32" t="s">
        <v>54</v>
      </c>
      <c r="J32" t="s">
        <v>55</v>
      </c>
      <c r="K32" t="s">
        <v>56</v>
      </c>
      <c r="L32" t="s">
        <v>57</v>
      </c>
      <c r="M32" s="7">
        <v>80824</v>
      </c>
      <c r="N32" s="1" t="b">
        <v>1</v>
      </c>
      <c r="O32">
        <v>14</v>
      </c>
      <c r="Q32">
        <f>O32+P32</f>
        <v>14</v>
      </c>
      <c r="R32">
        <v>3347</v>
      </c>
      <c r="S32">
        <v>6800</v>
      </c>
      <c r="T32">
        <v>293</v>
      </c>
    </row>
    <row r="33" spans="1:20">
      <c r="A33" t="s">
        <v>58</v>
      </c>
      <c r="B33" s="2">
        <v>46195</v>
      </c>
      <c r="C33" s="3">
        <v>0.58333333333333337</v>
      </c>
      <c r="D33">
        <v>9</v>
      </c>
      <c r="E33" s="2">
        <v>46204</v>
      </c>
      <c r="F33" t="s">
        <v>21</v>
      </c>
      <c r="G33" t="s">
        <v>21</v>
      </c>
      <c r="H33" t="s">
        <v>59</v>
      </c>
      <c r="I33" t="s">
        <v>60</v>
      </c>
      <c r="J33" t="s">
        <v>55</v>
      </c>
      <c r="K33" t="s">
        <v>61</v>
      </c>
      <c r="L33" t="s">
        <v>62</v>
      </c>
      <c r="M33" s="7">
        <v>68827</v>
      </c>
      <c r="N33" s="1" t="b">
        <v>1</v>
      </c>
      <c r="O33">
        <v>17</v>
      </c>
      <c r="Q33">
        <f t="shared" ref="Q33:Q36" si="5">O33+P33</f>
        <v>17</v>
      </c>
      <c r="R33">
        <v>2875</v>
      </c>
      <c r="S33">
        <v>6314</v>
      </c>
      <c r="T33">
        <v>2378</v>
      </c>
    </row>
    <row r="34" spans="1:20">
      <c r="A34" t="s">
        <v>63</v>
      </c>
      <c r="B34" s="2">
        <v>46195</v>
      </c>
      <c r="C34" s="3">
        <v>0.58333333333333337</v>
      </c>
      <c r="D34">
        <v>10</v>
      </c>
      <c r="E34" s="2">
        <v>46205</v>
      </c>
      <c r="F34" t="s">
        <v>64</v>
      </c>
      <c r="G34" t="s">
        <v>65</v>
      </c>
      <c r="H34" t="s">
        <v>66</v>
      </c>
      <c r="I34" t="s">
        <v>67</v>
      </c>
      <c r="J34" t="s">
        <v>55</v>
      </c>
      <c r="K34" t="s">
        <v>82</v>
      </c>
      <c r="L34" t="s">
        <v>69</v>
      </c>
      <c r="M34" s="7">
        <v>52497</v>
      </c>
      <c r="N34" s="1" t="b">
        <v>0</v>
      </c>
      <c r="Q34">
        <f>O34+P34</f>
        <v>0</v>
      </c>
      <c r="R34">
        <v>1486</v>
      </c>
      <c r="S34">
        <v>3105</v>
      </c>
      <c r="T34">
        <v>1276</v>
      </c>
    </row>
    <row r="35" spans="1:20">
      <c r="A35" t="s">
        <v>70</v>
      </c>
      <c r="B35" s="2">
        <v>46195</v>
      </c>
      <c r="C35" s="3">
        <v>0.58333333333333337</v>
      </c>
      <c r="D35">
        <v>11</v>
      </c>
      <c r="E35" s="2">
        <v>46206</v>
      </c>
      <c r="F35" t="s">
        <v>72</v>
      </c>
      <c r="G35" t="s">
        <v>72</v>
      </c>
      <c r="H35" t="s">
        <v>73</v>
      </c>
      <c r="I35" t="s">
        <v>42</v>
      </c>
      <c r="J35" t="s">
        <v>55</v>
      </c>
      <c r="K35" t="s">
        <v>74</v>
      </c>
      <c r="L35" t="s">
        <v>75</v>
      </c>
      <c r="M35" s="7">
        <v>64478</v>
      </c>
      <c r="N35" s="1" t="b">
        <v>0</v>
      </c>
      <c r="O35">
        <v>1</v>
      </c>
      <c r="Q35">
        <f t="shared" ref="Q35:Q36" si="6">O35+P35</f>
        <v>1</v>
      </c>
      <c r="R35">
        <v>3163</v>
      </c>
      <c r="S35">
        <v>5750</v>
      </c>
      <c r="T35">
        <v>1071</v>
      </c>
    </row>
    <row r="36" spans="1:20">
      <c r="A36" t="s">
        <v>76</v>
      </c>
      <c r="B36" s="2">
        <v>46195</v>
      </c>
      <c r="C36" s="3">
        <v>0.58333333333333337</v>
      </c>
      <c r="D36">
        <v>27</v>
      </c>
      <c r="E36" s="2">
        <v>46222</v>
      </c>
      <c r="F36" t="s">
        <v>77</v>
      </c>
      <c r="G36" t="s">
        <v>77</v>
      </c>
      <c r="H36" t="s">
        <v>78</v>
      </c>
      <c r="I36" t="s">
        <v>78</v>
      </c>
      <c r="J36" t="s">
        <v>79</v>
      </c>
      <c r="K36" t="s">
        <v>80</v>
      </c>
      <c r="L36" t="s">
        <v>81</v>
      </c>
      <c r="M36" s="7">
        <v>80663</v>
      </c>
      <c r="N36" s="1" t="b">
        <v>0</v>
      </c>
      <c r="Q36">
        <f t="shared" si="6"/>
        <v>0</v>
      </c>
    </row>
    <row r="37" spans="1:20">
      <c r="N37" s="1" t="b">
        <v>0</v>
      </c>
    </row>
    <row r="38" spans="1:20">
      <c r="A38" t="s">
        <v>20</v>
      </c>
      <c r="B38" s="2">
        <v>46196</v>
      </c>
      <c r="C38" s="3">
        <v>0.41666666666666669</v>
      </c>
      <c r="D38">
        <v>2</v>
      </c>
      <c r="E38" s="2">
        <v>46198</v>
      </c>
      <c r="F38" t="s">
        <v>21</v>
      </c>
      <c r="G38" t="s">
        <v>21</v>
      </c>
      <c r="H38" t="s">
        <v>22</v>
      </c>
      <c r="I38" t="s">
        <v>22</v>
      </c>
      <c r="J38" t="s">
        <v>23</v>
      </c>
      <c r="K38" t="s">
        <v>24</v>
      </c>
      <c r="L38" t="s">
        <v>25</v>
      </c>
      <c r="M38" s="7">
        <v>70492</v>
      </c>
      <c r="N38" s="1" t="b">
        <v>1</v>
      </c>
      <c r="O38">
        <v>17</v>
      </c>
      <c r="P38">
        <v>22</v>
      </c>
      <c r="Q38">
        <f>O38+P38</f>
        <v>39</v>
      </c>
      <c r="R38">
        <v>1150</v>
      </c>
      <c r="S38">
        <v>2335</v>
      </c>
      <c r="T38">
        <v>1087</v>
      </c>
    </row>
    <row r="39" spans="1:20">
      <c r="A39" t="s">
        <v>26</v>
      </c>
      <c r="B39" s="2">
        <v>46196</v>
      </c>
      <c r="C39" s="3">
        <v>0.41666666666666669</v>
      </c>
      <c r="D39">
        <v>2</v>
      </c>
      <c r="E39" s="2">
        <v>46198</v>
      </c>
      <c r="F39" t="s">
        <v>27</v>
      </c>
      <c r="G39" t="s">
        <v>27</v>
      </c>
      <c r="H39" t="s">
        <v>28</v>
      </c>
      <c r="I39" t="s">
        <v>28</v>
      </c>
      <c r="J39" t="s">
        <v>23</v>
      </c>
      <c r="K39" t="s">
        <v>29</v>
      </c>
      <c r="L39" t="s">
        <v>30</v>
      </c>
      <c r="M39" s="7">
        <v>70649</v>
      </c>
      <c r="N39" s="1" t="b">
        <v>0</v>
      </c>
      <c r="O39">
        <v>18</v>
      </c>
      <c r="P39">
        <v>38</v>
      </c>
      <c r="Q39">
        <f t="shared" ref="Q39:Q48" si="7">O39+P39</f>
        <v>56</v>
      </c>
      <c r="R39">
        <v>1093</v>
      </c>
      <c r="S39">
        <v>2243</v>
      </c>
      <c r="T39">
        <v>393</v>
      </c>
    </row>
    <row r="40" spans="1:20">
      <c r="A40" t="s">
        <v>31</v>
      </c>
      <c r="B40" s="2">
        <v>46196</v>
      </c>
      <c r="C40" s="3">
        <v>0.41666666666666669</v>
      </c>
      <c r="D40">
        <v>2</v>
      </c>
      <c r="E40" s="2">
        <v>46198</v>
      </c>
      <c r="F40" t="s">
        <v>32</v>
      </c>
      <c r="G40" t="s">
        <v>32</v>
      </c>
      <c r="H40" t="s">
        <v>33</v>
      </c>
      <c r="I40" t="s">
        <v>33</v>
      </c>
      <c r="J40" t="s">
        <v>23</v>
      </c>
      <c r="K40" t="s">
        <v>34</v>
      </c>
      <c r="L40" t="s">
        <v>35</v>
      </c>
      <c r="M40" s="7">
        <v>68324</v>
      </c>
      <c r="N40" s="1" t="b">
        <v>0</v>
      </c>
      <c r="O40">
        <v>82</v>
      </c>
      <c r="P40">
        <v>33</v>
      </c>
      <c r="Q40">
        <f t="shared" si="7"/>
        <v>115</v>
      </c>
      <c r="R40">
        <v>385</v>
      </c>
      <c r="S40">
        <v>920</v>
      </c>
      <c r="T40">
        <v>375</v>
      </c>
    </row>
    <row r="41" spans="1:20">
      <c r="A41" t="s">
        <v>36</v>
      </c>
      <c r="B41" s="2">
        <v>46196</v>
      </c>
      <c r="C41" s="3">
        <v>0.41666666666666669</v>
      </c>
      <c r="D41">
        <v>3</v>
      </c>
      <c r="E41" s="2">
        <v>46199</v>
      </c>
      <c r="F41" t="s">
        <v>37</v>
      </c>
      <c r="G41" t="s">
        <v>37</v>
      </c>
      <c r="H41" t="s">
        <v>38</v>
      </c>
      <c r="I41" t="s">
        <v>38</v>
      </c>
      <c r="J41" t="s">
        <v>23</v>
      </c>
      <c r="K41" t="s">
        <v>39</v>
      </c>
      <c r="L41" t="s">
        <v>40</v>
      </c>
      <c r="M41" s="7">
        <v>64146</v>
      </c>
      <c r="N41" s="1" t="b">
        <v>0</v>
      </c>
      <c r="O41">
        <v>3</v>
      </c>
      <c r="P41">
        <v>31</v>
      </c>
      <c r="Q41">
        <f t="shared" si="7"/>
        <v>34</v>
      </c>
      <c r="R41">
        <v>1955</v>
      </c>
      <c r="S41">
        <v>3449</v>
      </c>
      <c r="T41">
        <v>347</v>
      </c>
    </row>
    <row r="42" spans="1:20">
      <c r="A42" t="s">
        <v>41</v>
      </c>
      <c r="B42" s="2">
        <v>46196</v>
      </c>
      <c r="C42" s="3">
        <v>0.41666666666666669</v>
      </c>
      <c r="D42">
        <v>3</v>
      </c>
      <c r="E42" s="2">
        <v>46199</v>
      </c>
      <c r="F42" t="s">
        <v>42</v>
      </c>
      <c r="G42" t="s">
        <v>42</v>
      </c>
      <c r="H42" t="s">
        <v>43</v>
      </c>
      <c r="I42" t="s">
        <v>43</v>
      </c>
      <c r="J42" t="s">
        <v>23</v>
      </c>
      <c r="K42" t="s">
        <v>44</v>
      </c>
      <c r="L42" t="s">
        <v>45</v>
      </c>
      <c r="M42" s="7">
        <v>68777</v>
      </c>
      <c r="N42" s="1" t="b">
        <v>0</v>
      </c>
      <c r="O42">
        <v>67</v>
      </c>
      <c r="P42">
        <v>61</v>
      </c>
      <c r="Q42">
        <f t="shared" si="7"/>
        <v>128</v>
      </c>
      <c r="R42">
        <v>489</v>
      </c>
      <c r="S42">
        <v>1035</v>
      </c>
      <c r="T42">
        <v>694</v>
      </c>
    </row>
    <row r="43" spans="1:20">
      <c r="A43" t="s">
        <v>46</v>
      </c>
      <c r="B43" s="2">
        <v>46196</v>
      </c>
      <c r="C43" s="3">
        <v>0.41666666666666669</v>
      </c>
      <c r="D43">
        <v>3</v>
      </c>
      <c r="E43" s="2">
        <v>46199</v>
      </c>
      <c r="F43" t="s">
        <v>47</v>
      </c>
      <c r="G43" t="s">
        <v>47</v>
      </c>
      <c r="H43" t="s">
        <v>48</v>
      </c>
      <c r="I43" t="s">
        <v>48</v>
      </c>
      <c r="J43" t="s">
        <v>23</v>
      </c>
      <c r="K43" t="s">
        <v>49</v>
      </c>
      <c r="L43" t="s">
        <v>50</v>
      </c>
      <c r="M43" s="7">
        <v>45664</v>
      </c>
      <c r="N43" s="1" t="b">
        <v>0</v>
      </c>
      <c r="O43">
        <v>2</v>
      </c>
      <c r="P43">
        <v>16</v>
      </c>
      <c r="Q43">
        <v>18</v>
      </c>
      <c r="R43">
        <v>2185</v>
      </c>
      <c r="S43">
        <v>3794</v>
      </c>
      <c r="T43">
        <v>107</v>
      </c>
    </row>
    <row r="44" spans="1:20">
      <c r="A44" t="s">
        <v>51</v>
      </c>
      <c r="B44" s="2">
        <v>46196</v>
      </c>
      <c r="C44" s="3">
        <v>0.41666666666666669</v>
      </c>
      <c r="D44">
        <v>7</v>
      </c>
      <c r="E44" s="2">
        <v>46203</v>
      </c>
      <c r="F44" t="s">
        <v>52</v>
      </c>
      <c r="G44" t="s">
        <v>52</v>
      </c>
      <c r="H44" t="s">
        <v>53</v>
      </c>
      <c r="I44" t="s">
        <v>54</v>
      </c>
      <c r="J44" t="s">
        <v>55</v>
      </c>
      <c r="K44" t="s">
        <v>56</v>
      </c>
      <c r="L44" t="s">
        <v>57</v>
      </c>
      <c r="M44" s="7">
        <v>80824</v>
      </c>
      <c r="N44" s="1" t="b">
        <v>1</v>
      </c>
      <c r="O44">
        <v>14</v>
      </c>
      <c r="Q44">
        <f>O44+P44</f>
        <v>14</v>
      </c>
      <c r="R44">
        <v>3565</v>
      </c>
      <c r="S44">
        <v>6209</v>
      </c>
      <c r="T44">
        <v>67</v>
      </c>
    </row>
    <row r="45" spans="1:20">
      <c r="A45" t="s">
        <v>58</v>
      </c>
      <c r="B45" s="2">
        <v>46196</v>
      </c>
      <c r="C45" s="3">
        <v>0.41666666666666669</v>
      </c>
      <c r="D45">
        <v>8</v>
      </c>
      <c r="E45" s="2">
        <v>46204</v>
      </c>
      <c r="F45" t="s">
        <v>21</v>
      </c>
      <c r="G45" t="s">
        <v>21</v>
      </c>
      <c r="H45" t="s">
        <v>59</v>
      </c>
      <c r="I45" t="s">
        <v>60</v>
      </c>
      <c r="J45" t="s">
        <v>55</v>
      </c>
      <c r="K45" t="s">
        <v>61</v>
      </c>
      <c r="L45" t="s">
        <v>62</v>
      </c>
      <c r="M45" s="7">
        <v>68827</v>
      </c>
      <c r="N45" s="1" t="b">
        <v>1</v>
      </c>
      <c r="O45">
        <v>17</v>
      </c>
      <c r="Q45">
        <f t="shared" ref="Q45:Q48" si="8">O45+P45</f>
        <v>17</v>
      </c>
      <c r="R45">
        <v>2185</v>
      </c>
      <c r="S45">
        <v>6325</v>
      </c>
      <c r="T45">
        <v>2738</v>
      </c>
    </row>
    <row r="46" spans="1:20">
      <c r="A46" t="s">
        <v>63</v>
      </c>
      <c r="B46" s="2">
        <v>46196</v>
      </c>
      <c r="C46" s="3">
        <v>0.41666666666666669</v>
      </c>
      <c r="D46">
        <v>9</v>
      </c>
      <c r="E46" s="2">
        <v>46205</v>
      </c>
      <c r="F46" t="s">
        <v>64</v>
      </c>
      <c r="G46" t="s">
        <v>65</v>
      </c>
      <c r="H46" t="s">
        <v>66</v>
      </c>
      <c r="I46" t="s">
        <v>67</v>
      </c>
      <c r="J46" t="s">
        <v>55</v>
      </c>
      <c r="K46" t="s">
        <v>82</v>
      </c>
      <c r="L46" t="s">
        <v>69</v>
      </c>
      <c r="M46" s="7">
        <v>52497</v>
      </c>
      <c r="N46" s="1" t="b">
        <v>0</v>
      </c>
      <c r="Q46">
        <f>O46+P46</f>
        <v>0</v>
      </c>
      <c r="R46">
        <v>1100</v>
      </c>
      <c r="S46">
        <v>2354</v>
      </c>
      <c r="T46">
        <v>724</v>
      </c>
    </row>
    <row r="47" spans="1:20">
      <c r="A47" t="s">
        <v>70</v>
      </c>
      <c r="B47" s="2">
        <v>46196</v>
      </c>
      <c r="C47" s="3">
        <v>0.41666666666666669</v>
      </c>
      <c r="D47">
        <v>10</v>
      </c>
      <c r="E47" s="2">
        <v>46206</v>
      </c>
      <c r="F47" t="s">
        <v>72</v>
      </c>
      <c r="G47" t="s">
        <v>72</v>
      </c>
      <c r="H47" t="s">
        <v>73</v>
      </c>
      <c r="I47" t="s">
        <v>42</v>
      </c>
      <c r="J47" t="s">
        <v>55</v>
      </c>
      <c r="K47" t="s">
        <v>74</v>
      </c>
      <c r="L47" t="s">
        <v>75</v>
      </c>
      <c r="M47" s="7">
        <v>64478</v>
      </c>
      <c r="N47" s="1" t="b">
        <v>0</v>
      </c>
      <c r="O47">
        <v>1</v>
      </c>
      <c r="Q47">
        <f t="shared" ref="Q47:Q48" si="9">O47+P47</f>
        <v>1</v>
      </c>
      <c r="R47">
        <v>3444</v>
      </c>
      <c r="S47">
        <v>5793</v>
      </c>
      <c r="T47">
        <v>338</v>
      </c>
    </row>
    <row r="48" spans="1:20">
      <c r="A48" t="s">
        <v>76</v>
      </c>
      <c r="B48" s="2">
        <v>46196</v>
      </c>
      <c r="C48" s="3">
        <v>0.41666666666666669</v>
      </c>
      <c r="D48">
        <v>26</v>
      </c>
      <c r="E48" s="2">
        <v>46222</v>
      </c>
      <c r="F48" t="s">
        <v>77</v>
      </c>
      <c r="G48" t="s">
        <v>77</v>
      </c>
      <c r="H48" t="s">
        <v>78</v>
      </c>
      <c r="I48" t="s">
        <v>78</v>
      </c>
      <c r="J48" t="s">
        <v>79</v>
      </c>
      <c r="K48" t="s">
        <v>80</v>
      </c>
      <c r="L48" t="s">
        <v>81</v>
      </c>
      <c r="M48" s="7">
        <v>80663</v>
      </c>
      <c r="N48" s="1" t="b">
        <v>0</v>
      </c>
      <c r="Q48">
        <f t="shared" si="9"/>
        <v>0</v>
      </c>
      <c r="R48">
        <v>18660</v>
      </c>
      <c r="S48">
        <v>40566</v>
      </c>
      <c r="T48">
        <v>376</v>
      </c>
    </row>
    <row r="50" spans="1:20">
      <c r="A50" t="s">
        <v>20</v>
      </c>
      <c r="B50" s="2">
        <v>46196</v>
      </c>
      <c r="C50" s="3">
        <v>0.66666666666666663</v>
      </c>
      <c r="D50">
        <v>2</v>
      </c>
      <c r="E50" s="2">
        <v>46198</v>
      </c>
      <c r="F50" t="s">
        <v>21</v>
      </c>
      <c r="G50" t="s">
        <v>21</v>
      </c>
      <c r="H50" t="s">
        <v>22</v>
      </c>
      <c r="I50" t="s">
        <v>22</v>
      </c>
      <c r="J50" t="s">
        <v>23</v>
      </c>
      <c r="K50" t="s">
        <v>24</v>
      </c>
      <c r="L50" t="s">
        <v>25</v>
      </c>
      <c r="M50" s="7">
        <v>70492</v>
      </c>
      <c r="N50" s="1" t="b">
        <v>1</v>
      </c>
      <c r="O50">
        <v>17</v>
      </c>
      <c r="P50">
        <v>22</v>
      </c>
      <c r="Q50">
        <f>O50+P50</f>
        <v>39</v>
      </c>
      <c r="R50">
        <v>1127</v>
      </c>
      <c r="S50">
        <v>2300</v>
      </c>
      <c r="T50">
        <v>202</v>
      </c>
    </row>
    <row r="51" spans="1:20">
      <c r="A51" t="s">
        <v>26</v>
      </c>
      <c r="B51" s="2">
        <v>46196</v>
      </c>
      <c r="C51" s="3">
        <v>0.66666666666666663</v>
      </c>
      <c r="D51">
        <v>2</v>
      </c>
      <c r="E51" s="2">
        <v>46198</v>
      </c>
      <c r="F51" t="s">
        <v>27</v>
      </c>
      <c r="G51" t="s">
        <v>27</v>
      </c>
      <c r="H51" t="s">
        <v>28</v>
      </c>
      <c r="I51" t="s">
        <v>28</v>
      </c>
      <c r="J51" t="s">
        <v>23</v>
      </c>
      <c r="K51" t="s">
        <v>29</v>
      </c>
      <c r="L51" t="s">
        <v>30</v>
      </c>
      <c r="M51" s="7">
        <v>70649</v>
      </c>
      <c r="N51" s="1" t="b">
        <v>0</v>
      </c>
      <c r="O51">
        <v>18</v>
      </c>
      <c r="P51">
        <v>38</v>
      </c>
      <c r="Q51">
        <f t="shared" ref="Q51:Q60" si="10">O51+P51</f>
        <v>56</v>
      </c>
      <c r="R51">
        <v>690</v>
      </c>
      <c r="S51">
        <v>2185</v>
      </c>
      <c r="T51">
        <v>255</v>
      </c>
    </row>
    <row r="52" spans="1:20">
      <c r="A52" t="s">
        <v>31</v>
      </c>
      <c r="B52" s="2">
        <v>46196</v>
      </c>
      <c r="C52" s="3">
        <v>0.66666666666666663</v>
      </c>
      <c r="D52">
        <v>2</v>
      </c>
      <c r="E52" s="2">
        <v>46198</v>
      </c>
      <c r="F52" t="s">
        <v>32</v>
      </c>
      <c r="G52" t="s">
        <v>32</v>
      </c>
      <c r="H52" t="s">
        <v>33</v>
      </c>
      <c r="I52" t="s">
        <v>33</v>
      </c>
      <c r="J52" t="s">
        <v>23</v>
      </c>
      <c r="K52" t="s">
        <v>34</v>
      </c>
      <c r="L52" t="s">
        <v>35</v>
      </c>
      <c r="M52" s="7">
        <v>68324</v>
      </c>
      <c r="N52" s="1" t="b">
        <v>0</v>
      </c>
      <c r="O52">
        <v>82</v>
      </c>
      <c r="P52">
        <v>33</v>
      </c>
      <c r="Q52">
        <f t="shared" si="10"/>
        <v>115</v>
      </c>
      <c r="R52">
        <v>627</v>
      </c>
      <c r="S52">
        <v>1298</v>
      </c>
      <c r="T52">
        <v>363</v>
      </c>
    </row>
    <row r="53" spans="1:20">
      <c r="A53" t="s">
        <v>36</v>
      </c>
      <c r="B53" s="2">
        <v>46196</v>
      </c>
      <c r="C53" s="3">
        <v>0.66666666666666663</v>
      </c>
      <c r="D53">
        <v>3</v>
      </c>
      <c r="E53" s="2">
        <v>46199</v>
      </c>
      <c r="F53" t="s">
        <v>37</v>
      </c>
      <c r="G53" t="s">
        <v>37</v>
      </c>
      <c r="H53" t="s">
        <v>38</v>
      </c>
      <c r="I53" t="s">
        <v>38</v>
      </c>
      <c r="J53" t="s">
        <v>23</v>
      </c>
      <c r="K53" t="s">
        <v>39</v>
      </c>
      <c r="L53" t="s">
        <v>40</v>
      </c>
      <c r="M53" s="7">
        <v>64146</v>
      </c>
      <c r="N53" s="1" t="b">
        <v>0</v>
      </c>
      <c r="O53">
        <v>3</v>
      </c>
      <c r="P53">
        <v>31</v>
      </c>
      <c r="Q53">
        <f t="shared" si="10"/>
        <v>34</v>
      </c>
      <c r="R53">
        <v>1725</v>
      </c>
      <c r="S53">
        <v>3439</v>
      </c>
      <c r="T53">
        <v>356</v>
      </c>
    </row>
    <row r="54" spans="1:20">
      <c r="A54" t="s">
        <v>41</v>
      </c>
      <c r="B54" s="2">
        <v>46196</v>
      </c>
      <c r="C54" s="3">
        <v>0.66666666666666663</v>
      </c>
      <c r="D54">
        <v>3</v>
      </c>
      <c r="E54" s="2">
        <v>46199</v>
      </c>
      <c r="F54" t="s">
        <v>42</v>
      </c>
      <c r="G54" t="s">
        <v>42</v>
      </c>
      <c r="H54" t="s">
        <v>43</v>
      </c>
      <c r="I54" t="s">
        <v>43</v>
      </c>
      <c r="J54" t="s">
        <v>23</v>
      </c>
      <c r="K54" t="s">
        <v>44</v>
      </c>
      <c r="L54" t="s">
        <v>45</v>
      </c>
      <c r="M54" s="7">
        <v>68777</v>
      </c>
      <c r="N54" s="1" t="b">
        <v>0</v>
      </c>
      <c r="O54">
        <v>67</v>
      </c>
      <c r="P54">
        <v>61</v>
      </c>
      <c r="Q54">
        <f t="shared" si="10"/>
        <v>128</v>
      </c>
      <c r="R54">
        <v>730</v>
      </c>
      <c r="S54">
        <v>1542</v>
      </c>
      <c r="T54">
        <v>586</v>
      </c>
    </row>
    <row r="55" spans="1:20">
      <c r="A55" t="s">
        <v>46</v>
      </c>
      <c r="B55" s="2">
        <v>46196</v>
      </c>
      <c r="C55" s="3">
        <v>0.66666666666666663</v>
      </c>
      <c r="D55">
        <v>3</v>
      </c>
      <c r="E55" s="2">
        <v>46199</v>
      </c>
      <c r="F55" t="s">
        <v>47</v>
      </c>
      <c r="G55" t="s">
        <v>47</v>
      </c>
      <c r="H55" t="s">
        <v>48</v>
      </c>
      <c r="I55" t="s">
        <v>48</v>
      </c>
      <c r="J55" t="s">
        <v>23</v>
      </c>
      <c r="K55" t="s">
        <v>49</v>
      </c>
      <c r="L55" t="s">
        <v>50</v>
      </c>
      <c r="M55" s="7">
        <v>45664</v>
      </c>
      <c r="N55" s="1" t="b">
        <v>0</v>
      </c>
      <c r="O55">
        <v>2</v>
      </c>
      <c r="P55">
        <v>16</v>
      </c>
      <c r="Q55">
        <v>18</v>
      </c>
      <c r="R55">
        <v>1840</v>
      </c>
      <c r="S55">
        <v>3829</v>
      </c>
      <c r="T55">
        <v>89</v>
      </c>
    </row>
    <row r="56" spans="1:20">
      <c r="A56" t="s">
        <v>51</v>
      </c>
      <c r="B56" s="2">
        <v>46196</v>
      </c>
      <c r="C56" s="3">
        <v>0.66666666666666663</v>
      </c>
      <c r="D56">
        <v>7</v>
      </c>
      <c r="E56" s="2">
        <v>46203</v>
      </c>
      <c r="F56" t="s">
        <v>52</v>
      </c>
      <c r="G56" t="s">
        <v>52</v>
      </c>
      <c r="H56" t="s">
        <v>53</v>
      </c>
      <c r="I56" t="s">
        <v>54</v>
      </c>
      <c r="J56" t="s">
        <v>55</v>
      </c>
      <c r="K56" t="s">
        <v>56</v>
      </c>
      <c r="L56" t="s">
        <v>57</v>
      </c>
      <c r="M56" s="7">
        <v>80824</v>
      </c>
      <c r="N56" s="1" t="b">
        <v>1</v>
      </c>
      <c r="O56">
        <v>14</v>
      </c>
      <c r="Q56">
        <f>O56+P56</f>
        <v>14</v>
      </c>
      <c r="R56">
        <v>3312</v>
      </c>
      <c r="S56">
        <v>5630</v>
      </c>
      <c r="T56">
        <v>307</v>
      </c>
    </row>
    <row r="57" spans="1:20">
      <c r="A57" t="s">
        <v>58</v>
      </c>
      <c r="B57" s="2">
        <v>46196</v>
      </c>
      <c r="C57" s="3">
        <v>0.66666666666666663</v>
      </c>
      <c r="D57">
        <v>8</v>
      </c>
      <c r="E57" s="2">
        <v>46204</v>
      </c>
      <c r="F57" t="s">
        <v>21</v>
      </c>
      <c r="G57" t="s">
        <v>21</v>
      </c>
      <c r="H57" t="s">
        <v>59</v>
      </c>
      <c r="I57" t="s">
        <v>60</v>
      </c>
      <c r="J57" t="s">
        <v>55</v>
      </c>
      <c r="K57" t="s">
        <v>61</v>
      </c>
      <c r="L57" t="s">
        <v>62</v>
      </c>
      <c r="M57" s="7">
        <v>68827</v>
      </c>
      <c r="N57" s="1" t="b">
        <v>1</v>
      </c>
      <c r="O57">
        <v>17</v>
      </c>
      <c r="Q57">
        <f t="shared" ref="Q57:Q60" si="11">O57+P57</f>
        <v>17</v>
      </c>
      <c r="R57">
        <v>2473</v>
      </c>
      <c r="S57">
        <v>5750</v>
      </c>
      <c r="T57">
        <v>2512</v>
      </c>
    </row>
    <row r="58" spans="1:20">
      <c r="A58" t="s">
        <v>63</v>
      </c>
      <c r="B58" s="2">
        <v>46196</v>
      </c>
      <c r="C58" s="3">
        <v>0.66666666666666663</v>
      </c>
      <c r="D58">
        <v>9</v>
      </c>
      <c r="E58" s="2">
        <v>46205</v>
      </c>
      <c r="F58" t="s">
        <v>64</v>
      </c>
      <c r="G58" t="s">
        <v>65</v>
      </c>
      <c r="H58" t="s">
        <v>66</v>
      </c>
      <c r="I58" t="s">
        <v>67</v>
      </c>
      <c r="J58" t="s">
        <v>55</v>
      </c>
      <c r="K58" t="s">
        <v>82</v>
      </c>
      <c r="L58" t="s">
        <v>69</v>
      </c>
      <c r="M58" s="7">
        <v>52497</v>
      </c>
      <c r="N58" s="1" t="b">
        <v>0</v>
      </c>
      <c r="Q58">
        <f>O58+P58</f>
        <v>0</v>
      </c>
      <c r="R58">
        <v>1493</v>
      </c>
      <c r="S58">
        <v>3280</v>
      </c>
      <c r="T58">
        <v>1268</v>
      </c>
    </row>
    <row r="59" spans="1:20">
      <c r="A59" t="s">
        <v>70</v>
      </c>
      <c r="B59" s="2">
        <v>46196</v>
      </c>
      <c r="C59" s="3">
        <v>0.66666666666666663</v>
      </c>
      <c r="D59">
        <v>10</v>
      </c>
      <c r="E59" s="2">
        <v>46206</v>
      </c>
      <c r="F59" t="s">
        <v>72</v>
      </c>
      <c r="G59" t="s">
        <v>72</v>
      </c>
      <c r="H59" t="s">
        <v>73</v>
      </c>
      <c r="I59" t="s">
        <v>42</v>
      </c>
      <c r="J59" t="s">
        <v>55</v>
      </c>
      <c r="K59" t="s">
        <v>74</v>
      </c>
      <c r="L59" t="s">
        <v>75</v>
      </c>
      <c r="M59" s="7">
        <v>64478</v>
      </c>
      <c r="N59" s="1" t="b">
        <v>0</v>
      </c>
      <c r="O59">
        <v>1</v>
      </c>
      <c r="Q59">
        <f t="shared" ref="Q59:Q60" si="12">O59+P59</f>
        <v>1</v>
      </c>
      <c r="R59">
        <v>3393</v>
      </c>
      <c r="S59">
        <v>5854</v>
      </c>
      <c r="T59">
        <v>1164</v>
      </c>
    </row>
    <row r="60" spans="1:20">
      <c r="A60" t="s">
        <v>76</v>
      </c>
      <c r="B60" s="2">
        <v>46196</v>
      </c>
      <c r="C60" s="3">
        <v>0.66666666666666663</v>
      </c>
      <c r="D60">
        <v>26</v>
      </c>
      <c r="E60" s="2">
        <v>46222</v>
      </c>
      <c r="F60" t="s">
        <v>77</v>
      </c>
      <c r="G60" t="s">
        <v>77</v>
      </c>
      <c r="H60" t="s">
        <v>78</v>
      </c>
      <c r="I60" t="s">
        <v>78</v>
      </c>
      <c r="J60" t="s">
        <v>79</v>
      </c>
      <c r="K60" t="s">
        <v>80</v>
      </c>
      <c r="L60" t="s">
        <v>81</v>
      </c>
      <c r="M60" s="7">
        <v>80663</v>
      </c>
      <c r="N60" s="1" t="b">
        <v>0</v>
      </c>
      <c r="Q60">
        <f t="shared" si="12"/>
        <v>0</v>
      </c>
      <c r="R60">
        <v>13225</v>
      </c>
      <c r="S60">
        <v>28750</v>
      </c>
      <c r="T60">
        <v>407</v>
      </c>
    </row>
    <row r="61" spans="1:20">
      <c r="J61" t="s">
        <v>83</v>
      </c>
    </row>
    <row r="62" spans="1:20">
      <c r="A62" t="s">
        <v>20</v>
      </c>
      <c r="B62" s="2">
        <v>46197</v>
      </c>
      <c r="C62" s="3">
        <v>0.41666666666666669</v>
      </c>
      <c r="D62">
        <v>1</v>
      </c>
      <c r="E62" s="2">
        <v>46198</v>
      </c>
      <c r="F62" t="s">
        <v>21</v>
      </c>
      <c r="G62" t="s">
        <v>21</v>
      </c>
      <c r="H62" t="s">
        <v>22</v>
      </c>
      <c r="I62" t="s">
        <v>22</v>
      </c>
      <c r="J62" t="s">
        <v>23</v>
      </c>
      <c r="K62" t="s">
        <v>24</v>
      </c>
      <c r="L62" t="s">
        <v>25</v>
      </c>
      <c r="M62" s="7">
        <v>70492</v>
      </c>
      <c r="N62" s="1" t="b">
        <v>1</v>
      </c>
      <c r="O62">
        <v>17</v>
      </c>
      <c r="P62">
        <v>22</v>
      </c>
      <c r="Q62">
        <f>O62+P62</f>
        <v>39</v>
      </c>
      <c r="R62">
        <v>484</v>
      </c>
      <c r="S62">
        <v>2197</v>
      </c>
      <c r="T62">
        <v>95</v>
      </c>
    </row>
    <row r="63" spans="1:20">
      <c r="A63" t="s">
        <v>26</v>
      </c>
      <c r="B63" s="2">
        <v>46197</v>
      </c>
      <c r="C63" s="3">
        <v>0.41666666666666669</v>
      </c>
      <c r="D63">
        <v>1</v>
      </c>
      <c r="E63" s="2">
        <v>46198</v>
      </c>
      <c r="F63" t="s">
        <v>27</v>
      </c>
      <c r="G63" t="s">
        <v>27</v>
      </c>
      <c r="H63" t="s">
        <v>28</v>
      </c>
      <c r="I63" t="s">
        <v>28</v>
      </c>
      <c r="J63" t="s">
        <v>23</v>
      </c>
      <c r="K63" t="s">
        <v>29</v>
      </c>
      <c r="L63" t="s">
        <v>30</v>
      </c>
      <c r="M63" s="7">
        <v>70649</v>
      </c>
      <c r="N63" s="1" t="b">
        <v>0</v>
      </c>
      <c r="O63">
        <v>18</v>
      </c>
      <c r="P63">
        <v>38</v>
      </c>
      <c r="Q63">
        <f t="shared" ref="Q63:Q66" si="13">O63+P63</f>
        <v>56</v>
      </c>
      <c r="R63">
        <v>874</v>
      </c>
      <c r="S63">
        <v>2013</v>
      </c>
      <c r="T63">
        <v>385</v>
      </c>
    </row>
    <row r="64" spans="1:20">
      <c r="A64" t="s">
        <v>31</v>
      </c>
      <c r="B64" s="2">
        <v>46197</v>
      </c>
      <c r="C64" s="3">
        <v>0.41666666666666669</v>
      </c>
      <c r="D64">
        <v>1</v>
      </c>
      <c r="E64" s="2">
        <v>46198</v>
      </c>
      <c r="F64" t="s">
        <v>32</v>
      </c>
      <c r="G64" t="s">
        <v>32</v>
      </c>
      <c r="H64" t="s">
        <v>33</v>
      </c>
      <c r="I64" t="s">
        <v>33</v>
      </c>
      <c r="J64" t="s">
        <v>23</v>
      </c>
      <c r="K64" t="s">
        <v>34</v>
      </c>
      <c r="L64" t="s">
        <v>35</v>
      </c>
      <c r="M64" s="7">
        <v>68324</v>
      </c>
      <c r="N64" s="1" t="b">
        <v>0</v>
      </c>
      <c r="O64">
        <v>82</v>
      </c>
      <c r="P64">
        <v>33</v>
      </c>
      <c r="Q64">
        <f t="shared" si="13"/>
        <v>115</v>
      </c>
      <c r="R64">
        <v>518</v>
      </c>
      <c r="S64">
        <v>896</v>
      </c>
      <c r="T64">
        <v>292</v>
      </c>
    </row>
    <row r="65" spans="1:20">
      <c r="A65" t="s">
        <v>36</v>
      </c>
      <c r="B65" s="2">
        <v>46197</v>
      </c>
      <c r="C65" s="3">
        <v>0.41666666666666669</v>
      </c>
      <c r="D65">
        <v>2</v>
      </c>
      <c r="E65" s="2">
        <v>46199</v>
      </c>
      <c r="F65" t="s">
        <v>37</v>
      </c>
      <c r="G65" t="s">
        <v>37</v>
      </c>
      <c r="H65" t="s">
        <v>38</v>
      </c>
      <c r="I65" t="s">
        <v>38</v>
      </c>
      <c r="J65" t="s">
        <v>23</v>
      </c>
      <c r="K65" t="s">
        <v>39</v>
      </c>
      <c r="L65" t="s">
        <v>40</v>
      </c>
      <c r="M65" s="7">
        <v>64146</v>
      </c>
      <c r="N65" s="1" t="b">
        <v>0</v>
      </c>
      <c r="O65">
        <v>3</v>
      </c>
      <c r="P65">
        <v>31</v>
      </c>
      <c r="Q65">
        <f t="shared" si="13"/>
        <v>34</v>
      </c>
      <c r="R65">
        <v>1725</v>
      </c>
      <c r="S65">
        <v>2993</v>
      </c>
      <c r="T65">
        <v>253</v>
      </c>
    </row>
    <row r="66" spans="1:20">
      <c r="A66" t="s">
        <v>41</v>
      </c>
      <c r="B66" s="2">
        <v>46197</v>
      </c>
      <c r="C66" s="3">
        <v>0.41666666666666669</v>
      </c>
      <c r="D66">
        <v>2</v>
      </c>
      <c r="E66" s="2">
        <v>46199</v>
      </c>
      <c r="F66" t="s">
        <v>42</v>
      </c>
      <c r="G66" t="s">
        <v>42</v>
      </c>
      <c r="H66" t="s">
        <v>43</v>
      </c>
      <c r="I66" t="s">
        <v>43</v>
      </c>
      <c r="J66" t="s">
        <v>23</v>
      </c>
      <c r="K66" t="s">
        <v>44</v>
      </c>
      <c r="L66" t="s">
        <v>45</v>
      </c>
      <c r="M66" s="7">
        <v>68777</v>
      </c>
      <c r="N66" s="1" t="b">
        <v>0</v>
      </c>
      <c r="O66">
        <v>67</v>
      </c>
      <c r="P66">
        <v>61</v>
      </c>
      <c r="Q66">
        <f t="shared" si="13"/>
        <v>128</v>
      </c>
      <c r="R66">
        <v>322</v>
      </c>
      <c r="S66">
        <v>1093</v>
      </c>
      <c r="T66">
        <v>654</v>
      </c>
    </row>
    <row r="67" spans="1:20">
      <c r="A67" t="s">
        <v>46</v>
      </c>
      <c r="B67" s="2">
        <v>46197</v>
      </c>
      <c r="C67" s="3">
        <v>0.41666666666666669</v>
      </c>
      <c r="D67">
        <v>2</v>
      </c>
      <c r="E67" s="2">
        <v>46199</v>
      </c>
      <c r="F67" t="s">
        <v>47</v>
      </c>
      <c r="G67" t="s">
        <v>47</v>
      </c>
      <c r="H67" t="s">
        <v>48</v>
      </c>
      <c r="I67" t="s">
        <v>48</v>
      </c>
      <c r="J67" t="s">
        <v>23</v>
      </c>
      <c r="K67" t="s">
        <v>49</v>
      </c>
      <c r="L67" t="s">
        <v>50</v>
      </c>
      <c r="M67" s="7">
        <v>45664</v>
      </c>
      <c r="N67" s="1" t="b">
        <v>0</v>
      </c>
      <c r="O67">
        <v>2</v>
      </c>
      <c r="P67">
        <v>16</v>
      </c>
      <c r="Q67">
        <v>18</v>
      </c>
      <c r="R67">
        <v>2560</v>
      </c>
      <c r="S67">
        <v>3870</v>
      </c>
      <c r="T67">
        <v>91</v>
      </c>
    </row>
    <row r="68" spans="1:20">
      <c r="A68" t="s">
        <v>51</v>
      </c>
      <c r="B68" s="2">
        <v>46197</v>
      </c>
      <c r="C68" s="3">
        <v>0.41666666666666669</v>
      </c>
      <c r="D68">
        <v>6</v>
      </c>
      <c r="E68" s="2">
        <v>46203</v>
      </c>
      <c r="F68" t="s">
        <v>52</v>
      </c>
      <c r="G68" t="s">
        <v>52</v>
      </c>
      <c r="H68" t="s">
        <v>53</v>
      </c>
      <c r="I68" t="s">
        <v>54</v>
      </c>
      <c r="J68" t="s">
        <v>55</v>
      </c>
      <c r="K68" t="s">
        <v>56</v>
      </c>
      <c r="L68" t="s">
        <v>57</v>
      </c>
      <c r="M68" s="7">
        <v>80824</v>
      </c>
      <c r="N68" s="1" t="b">
        <v>1</v>
      </c>
      <c r="O68">
        <v>14</v>
      </c>
      <c r="Q68">
        <f>O68+P68</f>
        <v>14</v>
      </c>
      <c r="R68">
        <v>3318</v>
      </c>
      <c r="S68">
        <v>5750</v>
      </c>
      <c r="T68" s="5">
        <v>232</v>
      </c>
    </row>
    <row r="69" spans="1:20">
      <c r="A69" t="s">
        <v>58</v>
      </c>
      <c r="B69" s="2">
        <v>46197</v>
      </c>
      <c r="C69" s="3">
        <v>0.41666666666666669</v>
      </c>
      <c r="D69">
        <v>7</v>
      </c>
      <c r="E69" s="2">
        <v>46204</v>
      </c>
      <c r="F69" t="s">
        <v>21</v>
      </c>
      <c r="G69" t="s">
        <v>21</v>
      </c>
      <c r="H69" t="s">
        <v>59</v>
      </c>
      <c r="I69" t="s">
        <v>60</v>
      </c>
      <c r="J69" t="s">
        <v>55</v>
      </c>
      <c r="K69" t="s">
        <v>61</v>
      </c>
      <c r="L69" t="s">
        <v>62</v>
      </c>
      <c r="M69" s="7">
        <v>68827</v>
      </c>
      <c r="N69" s="1" t="b">
        <v>1</v>
      </c>
      <c r="O69">
        <v>17</v>
      </c>
      <c r="Q69">
        <f t="shared" ref="Q69" si="14">O69+P69</f>
        <v>17</v>
      </c>
      <c r="R69">
        <v>2254</v>
      </c>
      <c r="S69">
        <v>5951</v>
      </c>
      <c r="T69">
        <v>779</v>
      </c>
    </row>
    <row r="70" spans="1:20">
      <c r="A70" t="s">
        <v>63</v>
      </c>
      <c r="B70" s="2">
        <v>46197</v>
      </c>
      <c r="C70" s="3">
        <v>0.41666666666666669</v>
      </c>
      <c r="D70">
        <v>8</v>
      </c>
      <c r="E70" s="2">
        <v>46205</v>
      </c>
      <c r="F70" t="s">
        <v>64</v>
      </c>
      <c r="G70" t="s">
        <v>65</v>
      </c>
      <c r="H70" t="s">
        <v>66</v>
      </c>
      <c r="I70" t="s">
        <v>67</v>
      </c>
      <c r="J70" t="s">
        <v>55</v>
      </c>
      <c r="K70" t="s">
        <v>82</v>
      </c>
      <c r="L70" t="s">
        <v>69</v>
      </c>
      <c r="M70" s="7">
        <v>52497</v>
      </c>
      <c r="N70" s="1" t="b">
        <v>0</v>
      </c>
      <c r="Q70">
        <f>O70+P70</f>
        <v>0</v>
      </c>
      <c r="R70">
        <v>1053</v>
      </c>
      <c r="S70">
        <v>2438</v>
      </c>
      <c r="T70">
        <v>1142</v>
      </c>
    </row>
    <row r="71" spans="1:20">
      <c r="A71" t="s">
        <v>70</v>
      </c>
      <c r="B71" s="2">
        <v>46197</v>
      </c>
      <c r="C71" s="3">
        <v>0.41666666666666669</v>
      </c>
      <c r="D71">
        <v>9</v>
      </c>
      <c r="E71" s="2">
        <v>46206</v>
      </c>
      <c r="F71" t="s">
        <v>72</v>
      </c>
      <c r="G71" t="s">
        <v>72</v>
      </c>
      <c r="H71" t="s">
        <v>73</v>
      </c>
      <c r="I71" t="s">
        <v>42</v>
      </c>
      <c r="J71" t="s">
        <v>55</v>
      </c>
      <c r="K71" t="s">
        <v>74</v>
      </c>
      <c r="L71" t="s">
        <v>75</v>
      </c>
      <c r="M71" s="7">
        <v>64478</v>
      </c>
      <c r="N71" s="1" t="b">
        <v>0</v>
      </c>
      <c r="O71">
        <v>1</v>
      </c>
      <c r="Q71">
        <f t="shared" ref="Q71" si="15">O71+P71</f>
        <v>1</v>
      </c>
      <c r="R71">
        <v>3450</v>
      </c>
      <c r="S71">
        <v>5865</v>
      </c>
      <c r="T71">
        <v>1172</v>
      </c>
    </row>
    <row r="72" spans="1:20">
      <c r="E72" s="2"/>
      <c r="G72" t="s">
        <v>84</v>
      </c>
    </row>
    <row r="73" spans="1:20">
      <c r="A73" t="s">
        <v>20</v>
      </c>
      <c r="B73" s="2">
        <v>46197</v>
      </c>
      <c r="C73" s="3">
        <v>0.91666666666666663</v>
      </c>
      <c r="D73">
        <v>1</v>
      </c>
      <c r="E73" s="2">
        <v>46198</v>
      </c>
      <c r="F73" t="s">
        <v>21</v>
      </c>
      <c r="G73" t="s">
        <v>21</v>
      </c>
      <c r="H73" t="s">
        <v>22</v>
      </c>
      <c r="I73" t="s">
        <v>22</v>
      </c>
      <c r="J73" t="s">
        <v>23</v>
      </c>
      <c r="K73" t="s">
        <v>24</v>
      </c>
      <c r="L73" t="s">
        <v>25</v>
      </c>
      <c r="M73" s="7">
        <v>70492</v>
      </c>
      <c r="N73" s="1" t="b">
        <v>1</v>
      </c>
      <c r="O73">
        <v>17</v>
      </c>
      <c r="P73">
        <v>22</v>
      </c>
      <c r="Q73">
        <f>O73+P73</f>
        <v>39</v>
      </c>
      <c r="R73">
        <v>920</v>
      </c>
      <c r="S73">
        <v>2070</v>
      </c>
      <c r="T73">
        <v>388</v>
      </c>
    </row>
    <row r="74" spans="1:20">
      <c r="A74" t="s">
        <v>26</v>
      </c>
      <c r="B74" s="2">
        <v>46197</v>
      </c>
      <c r="C74" s="3">
        <v>0.91666666666666663</v>
      </c>
      <c r="D74">
        <v>1</v>
      </c>
      <c r="E74" s="2">
        <v>46198</v>
      </c>
      <c r="F74" t="s">
        <v>27</v>
      </c>
      <c r="G74" t="s">
        <v>27</v>
      </c>
      <c r="H74" t="s">
        <v>28</v>
      </c>
      <c r="I74" t="s">
        <v>28</v>
      </c>
      <c r="J74" t="s">
        <v>23</v>
      </c>
      <c r="K74" t="s">
        <v>29</v>
      </c>
      <c r="L74" t="s">
        <v>30</v>
      </c>
      <c r="M74" s="7">
        <v>70649</v>
      </c>
      <c r="N74" s="1" t="b">
        <v>0</v>
      </c>
      <c r="O74">
        <v>18</v>
      </c>
      <c r="P74">
        <v>38</v>
      </c>
      <c r="Q74">
        <f t="shared" ref="Q74:Q77" si="16">O74+P74</f>
        <v>56</v>
      </c>
      <c r="R74">
        <v>920</v>
      </c>
      <c r="S74">
        <v>1840</v>
      </c>
      <c r="T74">
        <v>271</v>
      </c>
    </row>
    <row r="75" spans="1:20">
      <c r="A75" t="s">
        <v>31</v>
      </c>
      <c r="B75" s="2">
        <v>46197</v>
      </c>
      <c r="C75" s="3">
        <v>0.91666666666666663</v>
      </c>
      <c r="D75">
        <v>1</v>
      </c>
      <c r="E75" s="2">
        <v>46198</v>
      </c>
      <c r="F75" t="s">
        <v>32</v>
      </c>
      <c r="G75" t="s">
        <v>32</v>
      </c>
      <c r="H75" t="s">
        <v>33</v>
      </c>
      <c r="I75" t="s">
        <v>33</v>
      </c>
      <c r="J75" t="s">
        <v>23</v>
      </c>
      <c r="K75" t="s">
        <v>34</v>
      </c>
      <c r="L75" t="s">
        <v>35</v>
      </c>
      <c r="M75" s="7">
        <v>68324</v>
      </c>
      <c r="N75" s="1" t="b">
        <v>0</v>
      </c>
      <c r="O75">
        <v>82</v>
      </c>
      <c r="P75">
        <v>33</v>
      </c>
      <c r="Q75">
        <f t="shared" si="16"/>
        <v>115</v>
      </c>
      <c r="R75">
        <v>391</v>
      </c>
      <c r="S75">
        <v>805</v>
      </c>
      <c r="T75">
        <v>204</v>
      </c>
    </row>
    <row r="76" spans="1:20">
      <c r="A76" t="s">
        <v>36</v>
      </c>
      <c r="B76" s="2">
        <v>46197</v>
      </c>
      <c r="C76" s="3">
        <v>0.91666666666666663</v>
      </c>
      <c r="D76">
        <v>2</v>
      </c>
      <c r="E76" s="2">
        <v>46199</v>
      </c>
      <c r="F76" t="s">
        <v>37</v>
      </c>
      <c r="G76" t="s">
        <v>37</v>
      </c>
      <c r="H76" t="s">
        <v>38</v>
      </c>
      <c r="I76" t="s">
        <v>38</v>
      </c>
      <c r="J76" t="s">
        <v>23</v>
      </c>
      <c r="K76" t="s">
        <v>39</v>
      </c>
      <c r="L76" t="s">
        <v>40</v>
      </c>
      <c r="M76" s="7">
        <v>64146</v>
      </c>
      <c r="N76" s="1" t="b">
        <v>0</v>
      </c>
      <c r="O76">
        <v>3</v>
      </c>
      <c r="P76">
        <v>31</v>
      </c>
      <c r="Q76">
        <f t="shared" si="16"/>
        <v>34</v>
      </c>
      <c r="R76">
        <v>2202</v>
      </c>
      <c r="S76">
        <v>4078</v>
      </c>
      <c r="T76">
        <v>306</v>
      </c>
    </row>
    <row r="77" spans="1:20">
      <c r="A77" t="s">
        <v>41</v>
      </c>
      <c r="B77" s="2">
        <v>46197</v>
      </c>
      <c r="C77" s="3">
        <v>0.91666666666666663</v>
      </c>
      <c r="D77">
        <v>2</v>
      </c>
      <c r="E77" s="2">
        <v>46199</v>
      </c>
      <c r="F77" t="s">
        <v>42</v>
      </c>
      <c r="G77" t="s">
        <v>42</v>
      </c>
      <c r="H77" t="s">
        <v>43</v>
      </c>
      <c r="I77" t="s">
        <v>43</v>
      </c>
      <c r="J77" t="s">
        <v>23</v>
      </c>
      <c r="K77" t="s">
        <v>44</v>
      </c>
      <c r="L77" t="s">
        <v>75</v>
      </c>
      <c r="M77" s="7">
        <v>68777</v>
      </c>
      <c r="N77" s="1" t="b">
        <v>0</v>
      </c>
      <c r="O77">
        <v>67</v>
      </c>
      <c r="P77">
        <v>61</v>
      </c>
      <c r="Q77">
        <f t="shared" si="16"/>
        <v>128</v>
      </c>
      <c r="R77">
        <v>431</v>
      </c>
      <c r="S77">
        <v>1035</v>
      </c>
      <c r="T77">
        <v>645</v>
      </c>
    </row>
    <row r="78" spans="1:20">
      <c r="A78" t="s">
        <v>46</v>
      </c>
      <c r="B78" s="2">
        <v>46197</v>
      </c>
      <c r="C78" s="3">
        <v>0.91666666666666663</v>
      </c>
      <c r="D78">
        <v>2</v>
      </c>
      <c r="E78" s="2">
        <v>46199</v>
      </c>
      <c r="F78" t="s">
        <v>47</v>
      </c>
      <c r="G78" t="s">
        <v>47</v>
      </c>
      <c r="H78" t="s">
        <v>48</v>
      </c>
      <c r="I78" t="s">
        <v>48</v>
      </c>
      <c r="J78" t="s">
        <v>23</v>
      </c>
      <c r="K78" t="s">
        <v>49</v>
      </c>
      <c r="L78" t="s">
        <v>50</v>
      </c>
      <c r="M78" s="7">
        <v>45664</v>
      </c>
      <c r="N78" s="1" t="b">
        <v>0</v>
      </c>
      <c r="O78">
        <v>2</v>
      </c>
      <c r="P78">
        <v>16</v>
      </c>
      <c r="Q78">
        <v>18</v>
      </c>
      <c r="R78">
        <v>2070</v>
      </c>
      <c r="S78">
        <v>3766</v>
      </c>
      <c r="T78">
        <v>68</v>
      </c>
    </row>
    <row r="79" spans="1:20">
      <c r="A79" t="s">
        <v>51</v>
      </c>
      <c r="B79" s="2">
        <v>46197</v>
      </c>
      <c r="C79" s="3">
        <v>0.91666666666666663</v>
      </c>
      <c r="D79">
        <v>6</v>
      </c>
      <c r="E79" s="2">
        <v>46203</v>
      </c>
      <c r="F79" t="s">
        <v>52</v>
      </c>
      <c r="G79" t="s">
        <v>52</v>
      </c>
      <c r="H79" t="s">
        <v>53</v>
      </c>
      <c r="I79" t="s">
        <v>54</v>
      </c>
      <c r="J79" t="s">
        <v>55</v>
      </c>
      <c r="K79" t="s">
        <v>56</v>
      </c>
      <c r="L79" t="s">
        <v>57</v>
      </c>
      <c r="M79" s="7">
        <v>80824</v>
      </c>
      <c r="N79" s="1" t="b">
        <v>1</v>
      </c>
      <c r="O79">
        <v>14</v>
      </c>
      <c r="Q79">
        <f>O79+P79</f>
        <v>14</v>
      </c>
      <c r="R79">
        <v>3621</v>
      </c>
      <c r="S79">
        <v>8138</v>
      </c>
      <c r="T79">
        <v>360</v>
      </c>
    </row>
    <row r="80" spans="1:20">
      <c r="A80" t="s">
        <v>58</v>
      </c>
      <c r="B80" s="2">
        <v>46197</v>
      </c>
      <c r="C80" s="3">
        <v>0.91666666666666663</v>
      </c>
      <c r="D80">
        <v>7</v>
      </c>
      <c r="E80" s="2">
        <v>46204</v>
      </c>
      <c r="F80" t="s">
        <v>21</v>
      </c>
      <c r="G80" t="s">
        <v>21</v>
      </c>
      <c r="H80" t="s">
        <v>59</v>
      </c>
      <c r="I80" t="s">
        <v>60</v>
      </c>
      <c r="J80" t="s">
        <v>55</v>
      </c>
      <c r="K80" t="s">
        <v>61</v>
      </c>
      <c r="L80" t="s">
        <v>62</v>
      </c>
      <c r="M80" s="7">
        <v>68827</v>
      </c>
      <c r="N80" s="1" t="b">
        <v>1</v>
      </c>
      <c r="O80">
        <v>17</v>
      </c>
      <c r="Q80">
        <f t="shared" ref="Q80" si="17">O80+P80</f>
        <v>17</v>
      </c>
      <c r="R80">
        <v>2185</v>
      </c>
      <c r="S80">
        <v>5750</v>
      </c>
      <c r="T80">
        <v>3169</v>
      </c>
    </row>
    <row r="81" spans="1:20">
      <c r="A81" t="s">
        <v>63</v>
      </c>
      <c r="B81" s="2">
        <v>46197</v>
      </c>
      <c r="C81" s="3">
        <v>0.91666666666666663</v>
      </c>
      <c r="D81">
        <v>8</v>
      </c>
      <c r="E81" s="2">
        <v>46205</v>
      </c>
      <c r="F81" t="s">
        <v>65</v>
      </c>
      <c r="G81" t="s">
        <v>65</v>
      </c>
      <c r="H81" t="s">
        <v>66</v>
      </c>
      <c r="I81" t="s">
        <v>67</v>
      </c>
      <c r="J81" t="s">
        <v>55</v>
      </c>
      <c r="K81" t="s">
        <v>82</v>
      </c>
      <c r="L81" t="s">
        <v>69</v>
      </c>
      <c r="M81" s="7">
        <v>52497</v>
      </c>
      <c r="N81" s="1" t="b">
        <v>0</v>
      </c>
      <c r="O81">
        <v>19</v>
      </c>
      <c r="Q81">
        <f>O81+P81</f>
        <v>19</v>
      </c>
      <c r="R81">
        <v>345</v>
      </c>
      <c r="S81">
        <v>2750</v>
      </c>
      <c r="T81">
        <v>196</v>
      </c>
    </row>
    <row r="82" spans="1:20">
      <c r="A82" t="s">
        <v>70</v>
      </c>
      <c r="B82" s="2">
        <v>46197</v>
      </c>
      <c r="C82" s="3">
        <v>0.91666666666666663</v>
      </c>
      <c r="D82">
        <v>9</v>
      </c>
      <c r="E82" s="2">
        <v>46206</v>
      </c>
      <c r="F82" t="s">
        <v>72</v>
      </c>
      <c r="G82" t="s">
        <v>72</v>
      </c>
      <c r="H82" t="s">
        <v>73</v>
      </c>
      <c r="I82" t="s">
        <v>42</v>
      </c>
      <c r="J82" t="s">
        <v>55</v>
      </c>
      <c r="K82" t="s">
        <v>74</v>
      </c>
      <c r="L82" t="s">
        <v>75</v>
      </c>
      <c r="M82" s="7">
        <v>64478</v>
      </c>
      <c r="N82" s="1" t="b">
        <v>0</v>
      </c>
      <c r="O82">
        <v>1</v>
      </c>
      <c r="Q82">
        <f t="shared" ref="Q82" si="18">O82+P82</f>
        <v>1</v>
      </c>
      <c r="R82">
        <v>3450</v>
      </c>
      <c r="S82">
        <v>5808</v>
      </c>
      <c r="T82">
        <v>1227</v>
      </c>
    </row>
    <row r="83" spans="1:20">
      <c r="E83" s="2"/>
    </row>
    <row r="84" spans="1:20">
      <c r="A84" t="s">
        <v>20</v>
      </c>
      <c r="B84" s="2">
        <v>46198</v>
      </c>
      <c r="C84" s="3">
        <v>0.41666666666666669</v>
      </c>
      <c r="D84">
        <v>0</v>
      </c>
      <c r="E84" s="2">
        <v>46198</v>
      </c>
      <c r="F84" t="s">
        <v>21</v>
      </c>
      <c r="G84" t="s">
        <v>21</v>
      </c>
      <c r="H84" t="s">
        <v>22</v>
      </c>
      <c r="I84" t="s">
        <v>22</v>
      </c>
      <c r="J84" t="s">
        <v>23</v>
      </c>
      <c r="K84" t="s">
        <v>24</v>
      </c>
      <c r="L84" t="s">
        <v>25</v>
      </c>
      <c r="M84" s="7">
        <v>70492</v>
      </c>
      <c r="N84" s="1" t="b">
        <v>1</v>
      </c>
      <c r="O84">
        <v>17</v>
      </c>
      <c r="P84">
        <v>22</v>
      </c>
      <c r="Q84">
        <f>O84+P84</f>
        <v>39</v>
      </c>
      <c r="R84">
        <v>805</v>
      </c>
      <c r="S84">
        <v>1912</v>
      </c>
      <c r="T84">
        <v>366</v>
      </c>
    </row>
    <row r="85" spans="1:20">
      <c r="A85" t="s">
        <v>26</v>
      </c>
      <c r="B85" s="2">
        <v>46198</v>
      </c>
      <c r="C85" s="3">
        <v>0.41666666666666669</v>
      </c>
      <c r="D85">
        <v>0</v>
      </c>
      <c r="E85" s="2">
        <v>46198</v>
      </c>
      <c r="F85" t="s">
        <v>27</v>
      </c>
      <c r="G85" t="s">
        <v>27</v>
      </c>
      <c r="H85" t="s">
        <v>28</v>
      </c>
      <c r="I85" t="s">
        <v>28</v>
      </c>
      <c r="J85" t="s">
        <v>23</v>
      </c>
      <c r="K85" t="s">
        <v>29</v>
      </c>
      <c r="L85" t="s">
        <v>30</v>
      </c>
      <c r="M85" s="7">
        <v>70649</v>
      </c>
      <c r="N85" s="1" t="b">
        <v>0</v>
      </c>
      <c r="O85">
        <v>18</v>
      </c>
      <c r="P85">
        <v>38</v>
      </c>
      <c r="Q85">
        <f t="shared" ref="Q85:Q94" si="19">O85+P85</f>
        <v>56</v>
      </c>
      <c r="R85">
        <v>805</v>
      </c>
      <c r="S85">
        <v>1898</v>
      </c>
      <c r="T85">
        <v>127</v>
      </c>
    </row>
    <row r="86" spans="1:20">
      <c r="A86" t="s">
        <v>31</v>
      </c>
      <c r="B86" s="2">
        <v>46198</v>
      </c>
      <c r="C86" s="3">
        <v>0.41666666666666669</v>
      </c>
      <c r="D86">
        <v>0</v>
      </c>
      <c r="E86" s="2">
        <v>46198</v>
      </c>
      <c r="F86" t="s">
        <v>32</v>
      </c>
      <c r="G86" t="s">
        <v>32</v>
      </c>
      <c r="H86" t="s">
        <v>33</v>
      </c>
      <c r="I86" t="s">
        <v>33</v>
      </c>
      <c r="J86" t="s">
        <v>23</v>
      </c>
      <c r="K86" t="s">
        <v>34</v>
      </c>
      <c r="L86" t="s">
        <v>35</v>
      </c>
      <c r="M86" s="7">
        <v>68324</v>
      </c>
      <c r="N86" s="1" t="b">
        <v>0</v>
      </c>
      <c r="O86">
        <v>82</v>
      </c>
      <c r="P86">
        <v>33</v>
      </c>
      <c r="Q86">
        <f t="shared" si="19"/>
        <v>115</v>
      </c>
      <c r="R86">
        <v>403</v>
      </c>
      <c r="S86">
        <v>690</v>
      </c>
      <c r="T86">
        <v>117</v>
      </c>
    </row>
    <row r="87" spans="1:20">
      <c r="A87" t="s">
        <v>36</v>
      </c>
      <c r="B87" s="2">
        <v>46198</v>
      </c>
      <c r="C87" s="3">
        <v>0.41666666666666669</v>
      </c>
      <c r="D87">
        <v>1</v>
      </c>
      <c r="E87" s="2">
        <v>46199</v>
      </c>
      <c r="F87" t="s">
        <v>37</v>
      </c>
      <c r="G87" t="s">
        <v>37</v>
      </c>
      <c r="H87" t="s">
        <v>38</v>
      </c>
      <c r="I87" t="s">
        <v>38</v>
      </c>
      <c r="J87" t="s">
        <v>23</v>
      </c>
      <c r="K87" t="s">
        <v>39</v>
      </c>
      <c r="L87" t="s">
        <v>40</v>
      </c>
      <c r="M87" s="7">
        <v>64146</v>
      </c>
      <c r="N87" s="1" t="b">
        <v>0</v>
      </c>
      <c r="O87">
        <v>3</v>
      </c>
      <c r="P87">
        <v>31</v>
      </c>
      <c r="Q87">
        <f t="shared" si="19"/>
        <v>34</v>
      </c>
      <c r="R87">
        <v>1349</v>
      </c>
      <c r="S87">
        <v>3090</v>
      </c>
      <c r="T87">
        <v>33</v>
      </c>
    </row>
    <row r="88" spans="1:20">
      <c r="A88" t="s">
        <v>41</v>
      </c>
      <c r="B88" s="2">
        <v>46198</v>
      </c>
      <c r="C88" s="3">
        <v>0.41666666666666669</v>
      </c>
      <c r="D88">
        <v>1</v>
      </c>
      <c r="E88" s="2">
        <v>46199</v>
      </c>
      <c r="F88" t="s">
        <v>42</v>
      </c>
      <c r="G88" t="s">
        <v>42</v>
      </c>
      <c r="H88" t="s">
        <v>43</v>
      </c>
      <c r="I88" t="s">
        <v>43</v>
      </c>
      <c r="J88" t="s">
        <v>23</v>
      </c>
      <c r="K88" t="s">
        <v>44</v>
      </c>
      <c r="L88" t="s">
        <v>45</v>
      </c>
      <c r="M88" s="7">
        <v>68777</v>
      </c>
      <c r="N88" s="1" t="b">
        <v>0</v>
      </c>
      <c r="O88">
        <v>67</v>
      </c>
      <c r="P88">
        <v>61</v>
      </c>
      <c r="Q88">
        <f t="shared" si="19"/>
        <v>128</v>
      </c>
      <c r="R88">
        <v>471</v>
      </c>
      <c r="S88">
        <v>1006</v>
      </c>
      <c r="T88">
        <v>192</v>
      </c>
    </row>
    <row r="89" spans="1:20">
      <c r="A89" t="s">
        <v>46</v>
      </c>
      <c r="B89" s="2">
        <v>46198</v>
      </c>
      <c r="C89" s="3">
        <v>0.41666666666666669</v>
      </c>
      <c r="D89">
        <v>1</v>
      </c>
      <c r="E89" s="2">
        <v>46199</v>
      </c>
      <c r="F89" t="s">
        <v>47</v>
      </c>
      <c r="G89" t="s">
        <v>47</v>
      </c>
      <c r="H89" t="s">
        <v>48</v>
      </c>
      <c r="I89" t="s">
        <v>48</v>
      </c>
      <c r="J89" t="s">
        <v>23</v>
      </c>
      <c r="K89" t="s">
        <v>49</v>
      </c>
      <c r="L89" t="s">
        <v>50</v>
      </c>
      <c r="M89" s="7">
        <v>45664</v>
      </c>
      <c r="N89" s="1" t="b">
        <v>0</v>
      </c>
      <c r="O89">
        <v>2</v>
      </c>
      <c r="P89">
        <v>16</v>
      </c>
      <c r="Q89">
        <v>18</v>
      </c>
      <c r="R89">
        <v>2243</v>
      </c>
      <c r="S89">
        <v>3094</v>
      </c>
      <c r="T89">
        <v>66</v>
      </c>
    </row>
    <row r="90" spans="1:20">
      <c r="A90" t="s">
        <v>51</v>
      </c>
      <c r="B90" s="2">
        <v>46198</v>
      </c>
      <c r="C90" s="3">
        <v>0.41666666666666669</v>
      </c>
      <c r="D90">
        <v>5</v>
      </c>
      <c r="E90" s="2">
        <v>46203</v>
      </c>
      <c r="F90" t="s">
        <v>52</v>
      </c>
      <c r="G90" t="s">
        <v>52</v>
      </c>
      <c r="H90" t="s">
        <v>53</v>
      </c>
      <c r="I90" t="s">
        <v>54</v>
      </c>
      <c r="J90" t="s">
        <v>55</v>
      </c>
      <c r="K90" t="s">
        <v>56</v>
      </c>
      <c r="L90" t="s">
        <v>57</v>
      </c>
      <c r="M90" s="7">
        <v>80824</v>
      </c>
      <c r="N90" s="1" t="b">
        <v>1</v>
      </c>
      <c r="O90">
        <v>14</v>
      </c>
      <c r="Q90">
        <f>O90+P90</f>
        <v>14</v>
      </c>
      <c r="R90">
        <v>3450</v>
      </c>
      <c r="S90">
        <v>5520</v>
      </c>
      <c r="T90">
        <v>140</v>
      </c>
    </row>
    <row r="91" spans="1:20">
      <c r="A91" t="s">
        <v>58</v>
      </c>
      <c r="B91" s="2">
        <v>46198</v>
      </c>
      <c r="C91" s="3">
        <v>0.41666666666666669</v>
      </c>
      <c r="D91">
        <v>6</v>
      </c>
      <c r="E91" s="2">
        <v>46204</v>
      </c>
      <c r="F91" t="s">
        <v>21</v>
      </c>
      <c r="G91" t="s">
        <v>21</v>
      </c>
      <c r="H91" t="s">
        <v>59</v>
      </c>
      <c r="I91" t="s">
        <v>60</v>
      </c>
      <c r="J91" t="s">
        <v>55</v>
      </c>
      <c r="K91" t="s">
        <v>61</v>
      </c>
      <c r="L91" t="s">
        <v>62</v>
      </c>
      <c r="M91" s="7">
        <v>68827</v>
      </c>
      <c r="N91" s="1" t="b">
        <v>1</v>
      </c>
      <c r="O91">
        <v>17</v>
      </c>
      <c r="Q91">
        <f t="shared" ref="Q91:Q94" si="20">O91+P91</f>
        <v>17</v>
      </c>
      <c r="R91">
        <v>2070</v>
      </c>
      <c r="S91">
        <v>4025</v>
      </c>
      <c r="T91">
        <v>1140</v>
      </c>
    </row>
    <row r="92" spans="1:20">
      <c r="A92" t="s">
        <v>63</v>
      </c>
      <c r="B92" s="2">
        <v>46198</v>
      </c>
      <c r="C92" s="3">
        <v>0.41666666666666669</v>
      </c>
      <c r="D92">
        <v>7</v>
      </c>
      <c r="E92" s="2">
        <v>46205</v>
      </c>
      <c r="F92" t="s">
        <v>65</v>
      </c>
      <c r="G92" t="s">
        <v>65</v>
      </c>
      <c r="H92" t="s">
        <v>66</v>
      </c>
      <c r="I92" t="s">
        <v>67</v>
      </c>
      <c r="J92" t="s">
        <v>55</v>
      </c>
      <c r="K92" t="s">
        <v>82</v>
      </c>
      <c r="L92" t="s">
        <v>69</v>
      </c>
      <c r="M92" s="7">
        <v>52497</v>
      </c>
      <c r="N92" s="1" t="b">
        <v>0</v>
      </c>
      <c r="O92">
        <v>19</v>
      </c>
      <c r="Q92">
        <f>O92+P92</f>
        <v>19</v>
      </c>
      <c r="R92">
        <v>632</v>
      </c>
      <c r="S92">
        <v>1725</v>
      </c>
      <c r="T92">
        <v>1394</v>
      </c>
    </row>
    <row r="93" spans="1:20">
      <c r="A93" t="s">
        <v>70</v>
      </c>
      <c r="B93" s="2">
        <v>46198</v>
      </c>
      <c r="C93" s="3">
        <v>0.41666666666666669</v>
      </c>
      <c r="D93">
        <v>8</v>
      </c>
      <c r="E93" s="2">
        <v>46206</v>
      </c>
      <c r="F93" t="s">
        <v>72</v>
      </c>
      <c r="G93" t="s">
        <v>72</v>
      </c>
      <c r="H93" t="s">
        <v>73</v>
      </c>
      <c r="I93" t="s">
        <v>42</v>
      </c>
      <c r="J93" t="s">
        <v>55</v>
      </c>
      <c r="K93" t="s">
        <v>74</v>
      </c>
      <c r="L93" t="s">
        <v>75</v>
      </c>
      <c r="M93" s="7">
        <v>64478</v>
      </c>
      <c r="N93" s="1" t="b">
        <v>0</v>
      </c>
      <c r="O93">
        <v>1</v>
      </c>
      <c r="Q93">
        <f t="shared" ref="Q93:Q94" si="21">O93+P93</f>
        <v>1</v>
      </c>
      <c r="R93">
        <v>3518</v>
      </c>
      <c r="S93">
        <v>5836</v>
      </c>
      <c r="T93">
        <v>400</v>
      </c>
    </row>
    <row r="94" spans="1:20">
      <c r="A94" t="s">
        <v>76</v>
      </c>
      <c r="B94" s="2">
        <v>46198</v>
      </c>
      <c r="C94" s="3">
        <v>0.41666666666666669</v>
      </c>
      <c r="D94">
        <v>24</v>
      </c>
      <c r="E94" s="2">
        <v>46222</v>
      </c>
      <c r="F94" t="s">
        <v>77</v>
      </c>
      <c r="G94" t="s">
        <v>77</v>
      </c>
      <c r="H94" t="s">
        <v>78</v>
      </c>
      <c r="I94" t="s">
        <v>78</v>
      </c>
      <c r="J94" t="s">
        <v>79</v>
      </c>
      <c r="K94" t="s">
        <v>80</v>
      </c>
      <c r="L94" t="s">
        <v>81</v>
      </c>
      <c r="M94" s="7">
        <v>80663</v>
      </c>
      <c r="N94" s="1" t="b">
        <v>0</v>
      </c>
      <c r="Q94">
        <f t="shared" si="21"/>
        <v>0</v>
      </c>
      <c r="R94">
        <v>15813</v>
      </c>
      <c r="S94">
        <v>28750</v>
      </c>
      <c r="T94">
        <v>143</v>
      </c>
    </row>
    <row r="96" spans="1:20">
      <c r="A96" t="s">
        <v>36</v>
      </c>
      <c r="B96" s="2">
        <v>46198</v>
      </c>
      <c r="C96" s="3">
        <v>0.95833333333333337</v>
      </c>
      <c r="D96">
        <v>1</v>
      </c>
      <c r="E96" s="2">
        <v>46199</v>
      </c>
      <c r="F96" t="s">
        <v>37</v>
      </c>
      <c r="G96" t="s">
        <v>37</v>
      </c>
      <c r="H96" t="s">
        <v>38</v>
      </c>
      <c r="I96" t="s">
        <v>38</v>
      </c>
      <c r="J96" t="s">
        <v>23</v>
      </c>
      <c r="K96" t="s">
        <v>39</v>
      </c>
      <c r="L96" t="s">
        <v>40</v>
      </c>
      <c r="M96" s="7">
        <v>64146</v>
      </c>
      <c r="N96" s="1" t="b">
        <v>0</v>
      </c>
      <c r="O96">
        <v>3</v>
      </c>
      <c r="P96">
        <v>31</v>
      </c>
      <c r="Q96">
        <f t="shared" ref="Q96:Q97" si="22">O96+P96</f>
        <v>34</v>
      </c>
      <c r="R96">
        <v>1379</v>
      </c>
      <c r="S96">
        <v>2953</v>
      </c>
      <c r="T96">
        <v>226</v>
      </c>
    </row>
    <row r="97" spans="1:20">
      <c r="A97" t="s">
        <v>41</v>
      </c>
      <c r="B97" s="2">
        <v>46198</v>
      </c>
      <c r="C97" s="3">
        <v>0.95833333333333337</v>
      </c>
      <c r="D97">
        <v>1</v>
      </c>
      <c r="E97" s="2">
        <v>46199</v>
      </c>
      <c r="F97" t="s">
        <v>42</v>
      </c>
      <c r="G97" t="s">
        <v>42</v>
      </c>
      <c r="H97" t="s">
        <v>43</v>
      </c>
      <c r="I97" t="s">
        <v>43</v>
      </c>
      <c r="J97" t="s">
        <v>23</v>
      </c>
      <c r="K97" t="s">
        <v>44</v>
      </c>
      <c r="L97" t="s">
        <v>45</v>
      </c>
      <c r="M97" s="7">
        <v>68777</v>
      </c>
      <c r="N97" s="1" t="b">
        <v>0</v>
      </c>
      <c r="O97">
        <v>67</v>
      </c>
      <c r="P97">
        <v>61</v>
      </c>
      <c r="Q97">
        <f t="shared" si="22"/>
        <v>128</v>
      </c>
      <c r="R97">
        <v>437</v>
      </c>
      <c r="S97">
        <v>987</v>
      </c>
      <c r="T97">
        <v>460</v>
      </c>
    </row>
    <row r="98" spans="1:20">
      <c r="A98" t="s">
        <v>46</v>
      </c>
      <c r="B98" s="2">
        <v>46198</v>
      </c>
      <c r="C98" s="3">
        <v>0.95833333333333337</v>
      </c>
      <c r="D98">
        <v>1</v>
      </c>
      <c r="E98" s="2">
        <v>46199</v>
      </c>
      <c r="F98" t="s">
        <v>47</v>
      </c>
      <c r="G98" t="s">
        <v>47</v>
      </c>
      <c r="H98" t="s">
        <v>48</v>
      </c>
      <c r="I98" t="s">
        <v>48</v>
      </c>
      <c r="J98" t="s">
        <v>23</v>
      </c>
      <c r="K98" t="s">
        <v>49</v>
      </c>
      <c r="L98" t="s">
        <v>50</v>
      </c>
      <c r="M98" s="7">
        <v>45664</v>
      </c>
      <c r="N98" s="1" t="b">
        <v>0</v>
      </c>
      <c r="O98">
        <v>2</v>
      </c>
      <c r="P98">
        <v>16</v>
      </c>
      <c r="Q98">
        <v>18</v>
      </c>
      <c r="R98">
        <v>2530</v>
      </c>
      <c r="S98">
        <v>3450</v>
      </c>
      <c r="T98">
        <v>71</v>
      </c>
    </row>
    <row r="99" spans="1:20">
      <c r="A99" t="s">
        <v>51</v>
      </c>
      <c r="B99" s="2">
        <v>46198</v>
      </c>
      <c r="C99" s="3">
        <v>0.95833333333333337</v>
      </c>
      <c r="D99">
        <v>5</v>
      </c>
      <c r="E99" s="2">
        <v>46203</v>
      </c>
      <c r="F99" t="s">
        <v>52</v>
      </c>
      <c r="G99" t="s">
        <v>52</v>
      </c>
      <c r="H99" t="s">
        <v>53</v>
      </c>
      <c r="I99" t="s">
        <v>54</v>
      </c>
      <c r="J99" t="s">
        <v>55</v>
      </c>
      <c r="K99" t="s">
        <v>56</v>
      </c>
      <c r="L99" t="s">
        <v>57</v>
      </c>
      <c r="M99" s="7">
        <v>80824</v>
      </c>
      <c r="N99" s="1" t="b">
        <v>1</v>
      </c>
      <c r="O99">
        <v>14</v>
      </c>
      <c r="Q99">
        <f>O99+P99</f>
        <v>14</v>
      </c>
      <c r="R99">
        <v>3105</v>
      </c>
      <c r="S99">
        <v>5829</v>
      </c>
      <c r="T99">
        <v>324</v>
      </c>
    </row>
    <row r="100" spans="1:20">
      <c r="A100" t="s">
        <v>58</v>
      </c>
      <c r="B100" s="2">
        <v>46198</v>
      </c>
      <c r="C100" s="3">
        <v>0.95833333333333337</v>
      </c>
      <c r="D100">
        <v>6</v>
      </c>
      <c r="E100" s="2">
        <v>46204</v>
      </c>
      <c r="F100" t="s">
        <v>21</v>
      </c>
      <c r="G100" t="s">
        <v>21</v>
      </c>
      <c r="H100" t="s">
        <v>59</v>
      </c>
      <c r="I100" t="s">
        <v>60</v>
      </c>
      <c r="J100" t="s">
        <v>55</v>
      </c>
      <c r="K100" t="s">
        <v>61</v>
      </c>
      <c r="L100" t="s">
        <v>62</v>
      </c>
      <c r="M100" s="7">
        <v>68827</v>
      </c>
      <c r="N100" s="1" t="b">
        <v>1</v>
      </c>
      <c r="O100">
        <v>17</v>
      </c>
      <c r="Q100">
        <f t="shared" ref="Q100:Q103" si="23">O100+P100</f>
        <v>17</v>
      </c>
      <c r="R100">
        <v>2135</v>
      </c>
      <c r="S100">
        <v>4600</v>
      </c>
      <c r="T100">
        <v>1129</v>
      </c>
    </row>
    <row r="101" spans="1:20">
      <c r="A101" t="s">
        <v>63</v>
      </c>
      <c r="B101" s="2">
        <v>46198</v>
      </c>
      <c r="C101" s="3">
        <v>0.95833333333333337</v>
      </c>
      <c r="D101">
        <v>7</v>
      </c>
      <c r="E101" s="2">
        <v>46205</v>
      </c>
      <c r="F101" t="s">
        <v>65</v>
      </c>
      <c r="G101" t="s">
        <v>65</v>
      </c>
      <c r="H101" t="s">
        <v>66</v>
      </c>
      <c r="I101" t="s">
        <v>67</v>
      </c>
      <c r="J101" t="s">
        <v>55</v>
      </c>
      <c r="K101" t="s">
        <v>82</v>
      </c>
      <c r="L101" t="s">
        <v>69</v>
      </c>
      <c r="M101" s="7">
        <v>52497</v>
      </c>
      <c r="N101" s="1" t="b">
        <v>0</v>
      </c>
      <c r="O101">
        <v>19</v>
      </c>
      <c r="Q101">
        <f>O101+P101</f>
        <v>19</v>
      </c>
      <c r="R101">
        <v>817</v>
      </c>
      <c r="S101">
        <v>2415</v>
      </c>
      <c r="T101">
        <v>415</v>
      </c>
    </row>
    <row r="102" spans="1:20">
      <c r="A102" t="s">
        <v>70</v>
      </c>
      <c r="B102" s="2">
        <v>46198</v>
      </c>
      <c r="C102" s="3">
        <v>0.95833333333333337</v>
      </c>
      <c r="D102">
        <v>8</v>
      </c>
      <c r="E102" s="2">
        <v>46206</v>
      </c>
      <c r="F102" t="s">
        <v>72</v>
      </c>
      <c r="G102" t="s">
        <v>72</v>
      </c>
      <c r="H102" t="s">
        <v>73</v>
      </c>
      <c r="I102" t="s">
        <v>42</v>
      </c>
      <c r="J102" t="s">
        <v>55</v>
      </c>
      <c r="K102" t="s">
        <v>74</v>
      </c>
      <c r="L102" t="s">
        <v>75</v>
      </c>
      <c r="M102" s="7">
        <v>64478</v>
      </c>
      <c r="N102" s="1" t="b">
        <v>0</v>
      </c>
      <c r="O102">
        <v>1</v>
      </c>
      <c r="Q102">
        <f t="shared" ref="Q102:Q103" si="24">O102+P102</f>
        <v>1</v>
      </c>
      <c r="R102">
        <v>5057</v>
      </c>
      <c r="S102">
        <v>8237</v>
      </c>
      <c r="T102">
        <v>1260</v>
      </c>
    </row>
    <row r="103" spans="1:20">
      <c r="A103" t="s">
        <v>76</v>
      </c>
      <c r="B103" s="2">
        <v>46198</v>
      </c>
      <c r="C103" s="3">
        <v>0.95833333333333337</v>
      </c>
      <c r="D103">
        <v>24</v>
      </c>
      <c r="E103" s="2">
        <v>46222</v>
      </c>
      <c r="F103" t="s">
        <v>77</v>
      </c>
      <c r="G103" t="s">
        <v>77</v>
      </c>
      <c r="H103" t="s">
        <v>78</v>
      </c>
      <c r="I103" t="s">
        <v>78</v>
      </c>
      <c r="J103" t="s">
        <v>79</v>
      </c>
      <c r="K103" t="s">
        <v>80</v>
      </c>
      <c r="L103" t="s">
        <v>81</v>
      </c>
      <c r="M103" s="7">
        <v>80663</v>
      </c>
      <c r="N103" s="1" t="b">
        <v>0</v>
      </c>
      <c r="Q103">
        <f t="shared" si="24"/>
        <v>0</v>
      </c>
    </row>
    <row r="105" spans="1:20">
      <c r="A105" t="s">
        <v>41</v>
      </c>
      <c r="B105" s="2">
        <v>46199</v>
      </c>
      <c r="C105" s="3">
        <v>0.5</v>
      </c>
      <c r="D105">
        <v>0</v>
      </c>
      <c r="E105" s="2">
        <v>46199</v>
      </c>
      <c r="F105" t="s">
        <v>42</v>
      </c>
      <c r="G105" t="s">
        <v>42</v>
      </c>
      <c r="H105" t="s">
        <v>43</v>
      </c>
      <c r="I105" t="s">
        <v>43</v>
      </c>
      <c r="J105" t="s">
        <v>23</v>
      </c>
      <c r="K105" t="s">
        <v>44</v>
      </c>
      <c r="L105" t="s">
        <v>45</v>
      </c>
      <c r="M105" s="7">
        <v>68777</v>
      </c>
      <c r="N105" s="1" t="b">
        <v>0</v>
      </c>
      <c r="O105">
        <v>67</v>
      </c>
      <c r="P105">
        <v>61</v>
      </c>
      <c r="Q105">
        <f t="shared" ref="Q105" si="25">O105+P105</f>
        <v>128</v>
      </c>
      <c r="R105">
        <v>414</v>
      </c>
      <c r="S105">
        <v>978</v>
      </c>
      <c r="T105">
        <v>188</v>
      </c>
    </row>
    <row r="106" spans="1:20">
      <c r="A106" t="s">
        <v>46</v>
      </c>
      <c r="B106" s="2">
        <v>46199</v>
      </c>
      <c r="C106" s="3">
        <v>0.5</v>
      </c>
      <c r="D106">
        <v>0</v>
      </c>
      <c r="E106" s="2">
        <v>46199</v>
      </c>
      <c r="F106" t="s">
        <v>47</v>
      </c>
      <c r="G106" t="s">
        <v>47</v>
      </c>
      <c r="H106" t="s">
        <v>48</v>
      </c>
      <c r="I106" t="s">
        <v>48</v>
      </c>
      <c r="J106" t="s">
        <v>23</v>
      </c>
      <c r="K106" t="s">
        <v>49</v>
      </c>
      <c r="L106" t="s">
        <v>50</v>
      </c>
      <c r="M106" s="7">
        <v>45664</v>
      </c>
      <c r="N106" s="1" t="b">
        <v>0</v>
      </c>
      <c r="O106">
        <v>2</v>
      </c>
      <c r="P106">
        <v>16</v>
      </c>
      <c r="Q106">
        <v>18</v>
      </c>
      <c r="R106">
        <v>1610</v>
      </c>
      <c r="S106">
        <v>3590</v>
      </c>
      <c r="T106">
        <v>14</v>
      </c>
    </row>
    <row r="107" spans="1:20">
      <c r="A107" t="s">
        <v>51</v>
      </c>
      <c r="B107" s="2">
        <v>46199</v>
      </c>
      <c r="C107" s="3">
        <v>0.5</v>
      </c>
      <c r="D107">
        <v>4</v>
      </c>
      <c r="E107" s="2">
        <v>46203</v>
      </c>
      <c r="F107" t="s">
        <v>52</v>
      </c>
      <c r="G107" t="s">
        <v>52</v>
      </c>
      <c r="H107" t="s">
        <v>53</v>
      </c>
      <c r="I107" t="s">
        <v>54</v>
      </c>
      <c r="J107" t="s">
        <v>55</v>
      </c>
      <c r="K107" t="s">
        <v>56</v>
      </c>
      <c r="L107" t="s">
        <v>57</v>
      </c>
      <c r="M107" s="7">
        <v>80824</v>
      </c>
      <c r="N107" s="1" t="b">
        <v>1</v>
      </c>
      <c r="O107">
        <v>14</v>
      </c>
      <c r="Q107">
        <f>O107+P107</f>
        <v>14</v>
      </c>
      <c r="R107">
        <v>3081</v>
      </c>
      <c r="S107">
        <v>6174</v>
      </c>
      <c r="T107">
        <v>313</v>
      </c>
    </row>
    <row r="108" spans="1:20">
      <c r="A108" t="s">
        <v>58</v>
      </c>
      <c r="B108" s="2">
        <v>46199</v>
      </c>
      <c r="C108" s="3">
        <v>0.5</v>
      </c>
      <c r="D108">
        <v>5</v>
      </c>
      <c r="E108" s="2">
        <v>46204</v>
      </c>
      <c r="F108" t="s">
        <v>21</v>
      </c>
      <c r="G108" t="s">
        <v>21</v>
      </c>
      <c r="H108" t="s">
        <v>60</v>
      </c>
      <c r="I108" t="s">
        <v>60</v>
      </c>
      <c r="J108" t="s">
        <v>55</v>
      </c>
      <c r="K108" t="s">
        <v>61</v>
      </c>
      <c r="L108" t="s">
        <v>62</v>
      </c>
      <c r="M108" s="7">
        <v>68827</v>
      </c>
      <c r="N108" s="1" t="b">
        <v>1</v>
      </c>
      <c r="O108">
        <v>17</v>
      </c>
      <c r="P108">
        <v>64</v>
      </c>
      <c r="Q108">
        <f t="shared" ref="Q108:Q111" si="26">O108+P108</f>
        <v>81</v>
      </c>
      <c r="R108">
        <v>1725</v>
      </c>
      <c r="S108">
        <v>4830</v>
      </c>
      <c r="T108">
        <v>3054</v>
      </c>
    </row>
    <row r="109" spans="1:20">
      <c r="A109" t="s">
        <v>63</v>
      </c>
      <c r="B109" s="2">
        <v>46199</v>
      </c>
      <c r="C109" s="3">
        <v>0.5</v>
      </c>
      <c r="D109">
        <v>6</v>
      </c>
      <c r="E109" s="2">
        <v>46205</v>
      </c>
      <c r="F109" t="s">
        <v>65</v>
      </c>
      <c r="G109" t="s">
        <v>65</v>
      </c>
      <c r="H109" t="s">
        <v>66</v>
      </c>
      <c r="I109" t="s">
        <v>67</v>
      </c>
      <c r="J109" t="s">
        <v>55</v>
      </c>
      <c r="K109" t="s">
        <v>82</v>
      </c>
      <c r="L109" t="s">
        <v>69</v>
      </c>
      <c r="M109" s="7">
        <v>52497</v>
      </c>
      <c r="N109" s="1" t="b">
        <v>0</v>
      </c>
      <c r="O109">
        <v>19</v>
      </c>
      <c r="Q109">
        <f>O109+P109</f>
        <v>19</v>
      </c>
      <c r="R109">
        <v>495</v>
      </c>
      <c r="S109">
        <v>1495</v>
      </c>
      <c r="T109">
        <v>2928</v>
      </c>
    </row>
    <row r="110" spans="1:20">
      <c r="A110" t="s">
        <v>70</v>
      </c>
      <c r="B110" s="2">
        <v>46199</v>
      </c>
      <c r="C110" s="3">
        <v>0.5</v>
      </c>
      <c r="D110">
        <v>7</v>
      </c>
      <c r="E110" s="2">
        <v>46206</v>
      </c>
      <c r="F110" t="s">
        <v>72</v>
      </c>
      <c r="G110" t="s">
        <v>72</v>
      </c>
      <c r="H110" t="s">
        <v>73</v>
      </c>
      <c r="I110" t="s">
        <v>42</v>
      </c>
      <c r="J110" t="s">
        <v>55</v>
      </c>
      <c r="K110" t="s">
        <v>74</v>
      </c>
      <c r="L110" t="s">
        <v>75</v>
      </c>
      <c r="M110" s="7">
        <v>64478</v>
      </c>
      <c r="N110" s="1" t="b">
        <v>0</v>
      </c>
      <c r="O110">
        <v>1</v>
      </c>
      <c r="Q110">
        <f t="shared" ref="Q110:Q111" si="27">O110+P110</f>
        <v>1</v>
      </c>
      <c r="R110">
        <v>3457</v>
      </c>
      <c r="S110">
        <v>6038</v>
      </c>
      <c r="T110">
        <v>1221</v>
      </c>
    </row>
    <row r="111" spans="1:20">
      <c r="A111" t="s">
        <v>76</v>
      </c>
      <c r="B111" s="2">
        <v>46199</v>
      </c>
      <c r="C111" s="3">
        <v>0.5</v>
      </c>
      <c r="D111">
        <v>23</v>
      </c>
      <c r="E111" s="2">
        <v>46222</v>
      </c>
      <c r="F111" t="s">
        <v>77</v>
      </c>
      <c r="G111" t="s">
        <v>77</v>
      </c>
      <c r="H111" t="s">
        <v>78</v>
      </c>
      <c r="I111" t="s">
        <v>78</v>
      </c>
      <c r="J111" t="s">
        <v>79</v>
      </c>
      <c r="K111" t="s">
        <v>80</v>
      </c>
      <c r="L111" t="s">
        <v>81</v>
      </c>
      <c r="M111" s="7">
        <v>80663</v>
      </c>
      <c r="N111" s="1" t="b">
        <v>0</v>
      </c>
      <c r="Q111">
        <f t="shared" si="27"/>
        <v>0</v>
      </c>
      <c r="R111">
        <v>15761</v>
      </c>
      <c r="S111">
        <v>29603</v>
      </c>
      <c r="T111">
        <v>340</v>
      </c>
    </row>
    <row r="113" spans="1:20">
      <c r="A113" t="s">
        <v>51</v>
      </c>
      <c r="B113" s="2">
        <v>46200</v>
      </c>
      <c r="C113" s="3">
        <v>0.625</v>
      </c>
      <c r="D113">
        <v>3</v>
      </c>
      <c r="E113" s="2">
        <v>46203</v>
      </c>
      <c r="F113" t="s">
        <v>52</v>
      </c>
      <c r="G113" t="s">
        <v>52</v>
      </c>
      <c r="H113" t="s">
        <v>53</v>
      </c>
      <c r="I113" t="s">
        <v>54</v>
      </c>
      <c r="J113" t="s">
        <v>55</v>
      </c>
      <c r="K113" t="s">
        <v>56</v>
      </c>
      <c r="L113" t="s">
        <v>57</v>
      </c>
      <c r="M113" s="7">
        <v>80824</v>
      </c>
      <c r="N113" s="1" t="b">
        <v>1</v>
      </c>
      <c r="O113">
        <v>14</v>
      </c>
      <c r="Q113">
        <f>O113+P113</f>
        <v>14</v>
      </c>
      <c r="R113">
        <v>2939</v>
      </c>
      <c r="S113">
        <v>5737</v>
      </c>
      <c r="T113">
        <v>302</v>
      </c>
    </row>
    <row r="114" spans="1:20">
      <c r="A114" t="s">
        <v>58</v>
      </c>
      <c r="B114" s="2">
        <v>46200</v>
      </c>
      <c r="C114" s="3">
        <v>0.625</v>
      </c>
      <c r="D114">
        <v>4</v>
      </c>
      <c r="E114" s="2">
        <v>46204</v>
      </c>
      <c r="F114" t="s">
        <v>21</v>
      </c>
      <c r="G114" t="s">
        <v>21</v>
      </c>
      <c r="H114" t="s">
        <v>60</v>
      </c>
      <c r="I114" t="s">
        <v>60</v>
      </c>
      <c r="J114" t="s">
        <v>55</v>
      </c>
      <c r="K114" t="s">
        <v>61</v>
      </c>
      <c r="L114" t="s">
        <v>62</v>
      </c>
      <c r="M114" s="7">
        <v>68827</v>
      </c>
      <c r="N114" s="1" t="b">
        <v>1</v>
      </c>
      <c r="O114">
        <v>17</v>
      </c>
      <c r="P114">
        <v>64</v>
      </c>
      <c r="Q114">
        <f t="shared" ref="Q114:Q117" si="28">O114+P114</f>
        <v>81</v>
      </c>
      <c r="R114">
        <v>1541</v>
      </c>
      <c r="S114">
        <v>3219</v>
      </c>
      <c r="T114">
        <v>3534</v>
      </c>
    </row>
    <row r="115" spans="1:20">
      <c r="A115" t="s">
        <v>63</v>
      </c>
      <c r="B115" s="2">
        <v>46200</v>
      </c>
      <c r="C115" s="3">
        <v>0.625</v>
      </c>
      <c r="D115">
        <v>5</v>
      </c>
      <c r="E115" s="2">
        <v>46205</v>
      </c>
      <c r="F115" t="s">
        <v>65</v>
      </c>
      <c r="G115" t="s">
        <v>65</v>
      </c>
      <c r="H115" t="s">
        <v>66</v>
      </c>
      <c r="I115" t="s">
        <v>67</v>
      </c>
      <c r="J115" t="s">
        <v>55</v>
      </c>
      <c r="K115" t="s">
        <v>82</v>
      </c>
      <c r="L115" t="s">
        <v>69</v>
      </c>
      <c r="M115" s="7">
        <v>52497</v>
      </c>
      <c r="N115" s="1" t="b">
        <v>0</v>
      </c>
      <c r="O115">
        <v>19</v>
      </c>
      <c r="Q115">
        <f>O115+P115</f>
        <v>19</v>
      </c>
      <c r="R115">
        <v>858</v>
      </c>
      <c r="S115">
        <v>1962</v>
      </c>
      <c r="T115">
        <v>817</v>
      </c>
    </row>
    <row r="116" spans="1:20">
      <c r="A116" t="s">
        <v>70</v>
      </c>
      <c r="B116" s="2">
        <v>46200</v>
      </c>
      <c r="C116" s="3">
        <v>0.625</v>
      </c>
      <c r="D116">
        <v>6</v>
      </c>
      <c r="E116" s="2">
        <v>46206</v>
      </c>
      <c r="F116" t="s">
        <v>72</v>
      </c>
      <c r="G116" t="s">
        <v>72</v>
      </c>
      <c r="H116" t="s">
        <v>42</v>
      </c>
      <c r="I116" t="s">
        <v>42</v>
      </c>
      <c r="J116" t="s">
        <v>55</v>
      </c>
      <c r="K116" t="s">
        <v>74</v>
      </c>
      <c r="L116" t="s">
        <v>75</v>
      </c>
      <c r="M116" s="7">
        <v>64478</v>
      </c>
      <c r="N116" s="1" t="b">
        <v>0</v>
      </c>
      <c r="O116">
        <v>1</v>
      </c>
      <c r="P116">
        <v>67</v>
      </c>
      <c r="Q116">
        <f t="shared" ref="Q116:Q117" si="29">O116+P116</f>
        <v>68</v>
      </c>
      <c r="R116">
        <v>2990</v>
      </c>
      <c r="S116">
        <v>5461</v>
      </c>
      <c r="T116">
        <v>1569</v>
      </c>
    </row>
    <row r="117" spans="1:20">
      <c r="A117" t="s">
        <v>76</v>
      </c>
      <c r="B117" s="2">
        <v>46200</v>
      </c>
      <c r="C117" s="3">
        <v>0.625</v>
      </c>
      <c r="D117">
        <v>22</v>
      </c>
      <c r="E117" s="2">
        <v>46222</v>
      </c>
      <c r="F117" t="s">
        <v>77</v>
      </c>
      <c r="G117" t="s">
        <v>77</v>
      </c>
      <c r="H117" t="s">
        <v>78</v>
      </c>
      <c r="I117" t="s">
        <v>78</v>
      </c>
      <c r="J117" t="s">
        <v>79</v>
      </c>
      <c r="K117" t="s">
        <v>80</v>
      </c>
      <c r="L117" t="s">
        <v>81</v>
      </c>
      <c r="M117" s="7">
        <v>80663</v>
      </c>
      <c r="N117" s="1" t="b">
        <v>0</v>
      </c>
      <c r="Q117">
        <f t="shared" si="29"/>
        <v>0</v>
      </c>
      <c r="R117">
        <v>17981</v>
      </c>
      <c r="S117">
        <v>40865</v>
      </c>
      <c r="T117">
        <v>445</v>
      </c>
    </row>
    <row r="119" spans="1:20">
      <c r="A119" t="s">
        <v>51</v>
      </c>
      <c r="B119" s="2">
        <v>46201</v>
      </c>
      <c r="C119" s="3">
        <v>0.5</v>
      </c>
      <c r="D119">
        <v>2</v>
      </c>
      <c r="E119" s="2">
        <v>46203</v>
      </c>
      <c r="F119" t="s">
        <v>52</v>
      </c>
      <c r="G119" t="s">
        <v>52</v>
      </c>
      <c r="H119" t="s">
        <v>54</v>
      </c>
      <c r="I119" t="s">
        <v>54</v>
      </c>
      <c r="J119" t="s">
        <v>55</v>
      </c>
      <c r="K119" t="s">
        <v>56</v>
      </c>
      <c r="L119" t="s">
        <v>57</v>
      </c>
      <c r="M119" s="7">
        <v>80824</v>
      </c>
      <c r="N119" s="1" t="b">
        <v>1</v>
      </c>
      <c r="O119">
        <v>14</v>
      </c>
      <c r="P119">
        <v>23</v>
      </c>
      <c r="Q119">
        <f>O119+P119</f>
        <v>37</v>
      </c>
      <c r="R119">
        <v>2939</v>
      </c>
      <c r="S119">
        <v>4982</v>
      </c>
      <c r="T119">
        <v>243</v>
      </c>
    </row>
    <row r="120" spans="1:20">
      <c r="A120" t="s">
        <v>58</v>
      </c>
      <c r="B120" s="2">
        <v>46201</v>
      </c>
      <c r="C120" s="3">
        <v>0.5</v>
      </c>
      <c r="D120">
        <v>3</v>
      </c>
      <c r="E120" s="2">
        <v>46204</v>
      </c>
      <c r="F120" t="s">
        <v>21</v>
      </c>
      <c r="G120" t="s">
        <v>21</v>
      </c>
      <c r="H120" t="s">
        <v>60</v>
      </c>
      <c r="I120" t="s">
        <v>60</v>
      </c>
      <c r="J120" t="s">
        <v>55</v>
      </c>
      <c r="K120" t="s">
        <v>61</v>
      </c>
      <c r="L120" t="s">
        <v>62</v>
      </c>
      <c r="M120" s="7">
        <v>68827</v>
      </c>
      <c r="N120" s="1" t="b">
        <v>1</v>
      </c>
      <c r="O120">
        <v>17</v>
      </c>
      <c r="P120">
        <v>64</v>
      </c>
      <c r="Q120">
        <f t="shared" ref="Q120:Q123" si="30">O120+P120</f>
        <v>81</v>
      </c>
      <c r="R120">
        <v>1150</v>
      </c>
      <c r="S120">
        <v>4025</v>
      </c>
      <c r="T120">
        <v>3053</v>
      </c>
    </row>
    <row r="121" spans="1:20">
      <c r="A121" t="s">
        <v>63</v>
      </c>
      <c r="B121" s="2">
        <v>46201</v>
      </c>
      <c r="C121" s="3">
        <v>0.5</v>
      </c>
      <c r="D121">
        <v>4</v>
      </c>
      <c r="E121" s="2">
        <v>46205</v>
      </c>
      <c r="F121" t="s">
        <v>65</v>
      </c>
      <c r="G121" t="s">
        <v>65</v>
      </c>
      <c r="H121" t="s">
        <v>67</v>
      </c>
      <c r="I121" t="s">
        <v>67</v>
      </c>
      <c r="J121" t="s">
        <v>55</v>
      </c>
      <c r="K121" t="s">
        <v>82</v>
      </c>
      <c r="L121" t="s">
        <v>69</v>
      </c>
      <c r="M121" s="7">
        <v>52497</v>
      </c>
      <c r="N121" s="1" t="b">
        <v>0</v>
      </c>
      <c r="O121">
        <v>19</v>
      </c>
      <c r="P121">
        <v>28</v>
      </c>
      <c r="Q121">
        <f>O121+P121</f>
        <v>47</v>
      </c>
      <c r="R121">
        <v>445</v>
      </c>
      <c r="S121">
        <v>1150</v>
      </c>
      <c r="T121">
        <v>2094</v>
      </c>
    </row>
    <row r="122" spans="1:20">
      <c r="A122" t="s">
        <v>70</v>
      </c>
      <c r="B122" s="2">
        <v>46201</v>
      </c>
      <c r="C122" s="3">
        <v>0.5</v>
      </c>
      <c r="D122">
        <v>5</v>
      </c>
      <c r="E122" s="2">
        <v>46206</v>
      </c>
      <c r="F122" t="s">
        <v>72</v>
      </c>
      <c r="G122" t="s">
        <v>72</v>
      </c>
      <c r="H122" t="s">
        <v>42</v>
      </c>
      <c r="I122" t="s">
        <v>42</v>
      </c>
      <c r="J122" t="s">
        <v>55</v>
      </c>
      <c r="K122" t="s">
        <v>74</v>
      </c>
      <c r="L122" t="s">
        <v>75</v>
      </c>
      <c r="M122" s="7">
        <v>64478</v>
      </c>
      <c r="N122" s="1" t="b">
        <v>0</v>
      </c>
      <c r="O122">
        <v>1</v>
      </c>
      <c r="P122">
        <v>67</v>
      </c>
      <c r="Q122">
        <f t="shared" ref="Q122:Q123" si="31">O122+P122</f>
        <v>68</v>
      </c>
      <c r="R122">
        <v>2645</v>
      </c>
      <c r="S122">
        <v>5173</v>
      </c>
      <c r="T122">
        <v>1737</v>
      </c>
    </row>
    <row r="123" spans="1:20">
      <c r="A123" t="s">
        <v>76</v>
      </c>
      <c r="B123" s="2">
        <v>46201</v>
      </c>
      <c r="C123" s="3">
        <v>0.5</v>
      </c>
      <c r="D123">
        <v>21</v>
      </c>
      <c r="E123" s="2">
        <v>46222</v>
      </c>
      <c r="F123" t="s">
        <v>77</v>
      </c>
      <c r="G123" t="s">
        <v>77</v>
      </c>
      <c r="H123" t="s">
        <v>78</v>
      </c>
      <c r="I123" t="s">
        <v>78</v>
      </c>
      <c r="J123" t="s">
        <v>79</v>
      </c>
      <c r="K123" t="s">
        <v>80</v>
      </c>
      <c r="L123" t="s">
        <v>81</v>
      </c>
      <c r="M123" s="7">
        <v>80663</v>
      </c>
      <c r="N123" s="1" t="b">
        <v>0</v>
      </c>
      <c r="Q123">
        <f t="shared" si="31"/>
        <v>0</v>
      </c>
      <c r="R123">
        <v>14720</v>
      </c>
      <c r="S123">
        <v>25300</v>
      </c>
      <c r="T123">
        <v>417</v>
      </c>
    </row>
    <row r="125" spans="1:20">
      <c r="A125" t="s">
        <v>51</v>
      </c>
      <c r="B125" s="2">
        <v>46202</v>
      </c>
      <c r="C125" s="3">
        <v>0.41666666666666669</v>
      </c>
      <c r="D125">
        <v>1</v>
      </c>
      <c r="E125" s="2">
        <v>46203</v>
      </c>
      <c r="F125" t="s">
        <v>52</v>
      </c>
      <c r="G125" t="s">
        <v>52</v>
      </c>
      <c r="H125" t="s">
        <v>54</v>
      </c>
      <c r="I125" t="s">
        <v>54</v>
      </c>
      <c r="J125" t="s">
        <v>55</v>
      </c>
      <c r="K125" t="s">
        <v>56</v>
      </c>
      <c r="L125" t="s">
        <v>57</v>
      </c>
      <c r="M125" s="7">
        <v>80824</v>
      </c>
      <c r="N125" s="1" t="b">
        <v>1</v>
      </c>
      <c r="O125">
        <v>14</v>
      </c>
      <c r="P125">
        <v>23</v>
      </c>
      <c r="Q125">
        <f>O125+P125</f>
        <v>37</v>
      </c>
      <c r="R125">
        <v>494</v>
      </c>
      <c r="S125">
        <v>4140</v>
      </c>
      <c r="T125">
        <v>78</v>
      </c>
    </row>
    <row r="126" spans="1:20">
      <c r="A126" t="s">
        <v>58</v>
      </c>
      <c r="B126" s="2">
        <v>46202</v>
      </c>
      <c r="C126" s="3">
        <v>0.41666666666666669</v>
      </c>
      <c r="D126">
        <v>2</v>
      </c>
      <c r="E126" s="2">
        <v>46204</v>
      </c>
      <c r="F126" t="s">
        <v>21</v>
      </c>
      <c r="G126" t="s">
        <v>21</v>
      </c>
      <c r="H126" t="s">
        <v>60</v>
      </c>
      <c r="I126" t="s">
        <v>60</v>
      </c>
      <c r="J126" t="s">
        <v>55</v>
      </c>
      <c r="K126" t="s">
        <v>61</v>
      </c>
      <c r="L126" t="s">
        <v>62</v>
      </c>
      <c r="M126" s="7">
        <v>68827</v>
      </c>
      <c r="N126" s="1" t="b">
        <v>1</v>
      </c>
      <c r="O126">
        <v>17</v>
      </c>
      <c r="P126">
        <v>64</v>
      </c>
      <c r="Q126">
        <f t="shared" ref="Q126:Q129" si="32">O126+P126</f>
        <v>81</v>
      </c>
      <c r="R126">
        <v>1214</v>
      </c>
      <c r="S126">
        <v>3666</v>
      </c>
      <c r="T126">
        <v>257</v>
      </c>
    </row>
    <row r="127" spans="1:20">
      <c r="A127" t="s">
        <v>63</v>
      </c>
      <c r="B127" s="2">
        <v>46202</v>
      </c>
      <c r="C127" s="3">
        <v>0.41666666666666669</v>
      </c>
      <c r="D127">
        <v>3</v>
      </c>
      <c r="E127" s="2">
        <v>46205</v>
      </c>
      <c r="F127" t="s">
        <v>65</v>
      </c>
      <c r="G127" t="s">
        <v>65</v>
      </c>
      <c r="H127" t="s">
        <v>67</v>
      </c>
      <c r="I127" t="s">
        <v>67</v>
      </c>
      <c r="J127" t="s">
        <v>55</v>
      </c>
      <c r="K127" t="s">
        <v>82</v>
      </c>
      <c r="L127" t="s">
        <v>69</v>
      </c>
      <c r="M127" s="7">
        <v>52497</v>
      </c>
      <c r="N127" s="1" t="b">
        <v>0</v>
      </c>
      <c r="O127">
        <v>19</v>
      </c>
      <c r="P127">
        <v>28</v>
      </c>
      <c r="Q127">
        <f>O127+P127</f>
        <v>47</v>
      </c>
      <c r="R127">
        <v>425</v>
      </c>
      <c r="S127">
        <v>1380</v>
      </c>
      <c r="T127">
        <v>1016</v>
      </c>
    </row>
    <row r="128" spans="1:20">
      <c r="A128" t="s">
        <v>70</v>
      </c>
      <c r="B128" s="2">
        <v>46202</v>
      </c>
      <c r="C128" s="3">
        <v>0.41666666666666669</v>
      </c>
      <c r="D128">
        <v>4</v>
      </c>
      <c r="E128" s="2">
        <v>46206</v>
      </c>
      <c r="F128" t="s">
        <v>72</v>
      </c>
      <c r="G128" t="s">
        <v>72</v>
      </c>
      <c r="H128" t="s">
        <v>42</v>
      </c>
      <c r="I128" t="s">
        <v>42</v>
      </c>
      <c r="J128" t="s">
        <v>55</v>
      </c>
      <c r="K128" t="s">
        <v>74</v>
      </c>
      <c r="L128" t="s">
        <v>75</v>
      </c>
      <c r="M128" s="7">
        <v>64478</v>
      </c>
      <c r="N128" s="1" t="b">
        <v>0</v>
      </c>
      <c r="O128">
        <v>1</v>
      </c>
      <c r="P128">
        <v>67</v>
      </c>
      <c r="Q128">
        <f t="shared" ref="Q128:Q129" si="33">O128+P128</f>
        <v>68</v>
      </c>
      <c r="R128">
        <v>2358</v>
      </c>
      <c r="S128">
        <v>4600</v>
      </c>
      <c r="T128">
        <v>1775</v>
      </c>
    </row>
    <row r="129" spans="1:20">
      <c r="A129" t="s">
        <v>76</v>
      </c>
      <c r="B129" s="2">
        <v>46202</v>
      </c>
      <c r="C129" s="3">
        <v>0.41666666666666669</v>
      </c>
      <c r="D129">
        <v>20</v>
      </c>
      <c r="E129" s="2">
        <v>46222</v>
      </c>
      <c r="F129" t="s">
        <v>77</v>
      </c>
      <c r="G129" t="s">
        <v>77</v>
      </c>
      <c r="H129" t="s">
        <v>78</v>
      </c>
      <c r="I129" t="s">
        <v>78</v>
      </c>
      <c r="J129" t="s">
        <v>79</v>
      </c>
      <c r="K129" t="s">
        <v>80</v>
      </c>
      <c r="L129" t="s">
        <v>81</v>
      </c>
      <c r="M129" s="7">
        <v>80663</v>
      </c>
      <c r="N129" s="1" t="b">
        <v>0</v>
      </c>
      <c r="Q129">
        <f t="shared" si="33"/>
        <v>0</v>
      </c>
      <c r="R129">
        <v>14720</v>
      </c>
      <c r="S129">
        <v>33350</v>
      </c>
      <c r="T129">
        <v>222</v>
      </c>
    </row>
    <row r="131" spans="1:20">
      <c r="A131" t="s">
        <v>51</v>
      </c>
      <c r="B131" s="2">
        <v>46202</v>
      </c>
      <c r="C131" s="3">
        <v>0.70833333333333337</v>
      </c>
      <c r="D131">
        <v>1</v>
      </c>
      <c r="E131" s="2">
        <v>46203</v>
      </c>
      <c r="F131" t="s">
        <v>52</v>
      </c>
      <c r="G131" t="s">
        <v>52</v>
      </c>
      <c r="H131" t="s">
        <v>54</v>
      </c>
      <c r="I131" t="s">
        <v>54</v>
      </c>
      <c r="J131" t="s">
        <v>55</v>
      </c>
      <c r="K131" t="s">
        <v>56</v>
      </c>
      <c r="L131" t="s">
        <v>57</v>
      </c>
      <c r="M131" s="7">
        <v>80824</v>
      </c>
      <c r="N131" s="1" t="b">
        <v>1</v>
      </c>
      <c r="O131">
        <v>14</v>
      </c>
      <c r="P131">
        <v>23</v>
      </c>
      <c r="Q131">
        <f>O131+P131</f>
        <v>37</v>
      </c>
      <c r="R131">
        <v>2459</v>
      </c>
      <c r="S131">
        <v>4200</v>
      </c>
      <c r="T131">
        <v>180</v>
      </c>
    </row>
    <row r="132" spans="1:20">
      <c r="A132" t="s">
        <v>58</v>
      </c>
      <c r="B132" s="2">
        <v>46202</v>
      </c>
      <c r="C132" s="3">
        <v>0.70833333333333337</v>
      </c>
      <c r="D132">
        <v>2</v>
      </c>
      <c r="E132" s="2">
        <v>46204</v>
      </c>
      <c r="F132" t="s">
        <v>21</v>
      </c>
      <c r="G132" t="s">
        <v>21</v>
      </c>
      <c r="H132" t="s">
        <v>60</v>
      </c>
      <c r="I132" t="s">
        <v>60</v>
      </c>
      <c r="J132" t="s">
        <v>55</v>
      </c>
      <c r="K132" t="s">
        <v>61</v>
      </c>
      <c r="L132" t="s">
        <v>62</v>
      </c>
      <c r="M132" s="7">
        <v>68827</v>
      </c>
      <c r="N132" s="1" t="b">
        <v>1</v>
      </c>
      <c r="O132">
        <v>17</v>
      </c>
      <c r="P132">
        <v>64</v>
      </c>
      <c r="Q132">
        <f t="shared" ref="Q132:Q135" si="34">O132+P132</f>
        <v>81</v>
      </c>
      <c r="R132">
        <v>1265</v>
      </c>
      <c r="S132">
        <v>3220</v>
      </c>
      <c r="T132">
        <v>1027</v>
      </c>
    </row>
    <row r="133" spans="1:20">
      <c r="A133" t="s">
        <v>63</v>
      </c>
      <c r="B133" s="2">
        <v>46202</v>
      </c>
      <c r="C133" s="3">
        <v>0.70833333333333337</v>
      </c>
      <c r="D133">
        <v>3</v>
      </c>
      <c r="E133" s="2">
        <v>46205</v>
      </c>
      <c r="F133" t="s">
        <v>65</v>
      </c>
      <c r="G133" t="s">
        <v>65</v>
      </c>
      <c r="H133" t="s">
        <v>67</v>
      </c>
      <c r="I133" t="s">
        <v>67</v>
      </c>
      <c r="J133" t="s">
        <v>55</v>
      </c>
      <c r="K133" t="s">
        <v>82</v>
      </c>
      <c r="L133" t="s">
        <v>69</v>
      </c>
      <c r="M133" s="7">
        <v>52497</v>
      </c>
      <c r="N133" s="1" t="b">
        <v>0</v>
      </c>
      <c r="O133">
        <v>19</v>
      </c>
      <c r="P133">
        <v>28</v>
      </c>
      <c r="Q133">
        <f>O133+P133</f>
        <v>47</v>
      </c>
      <c r="R133">
        <v>518</v>
      </c>
      <c r="S133">
        <v>1323</v>
      </c>
      <c r="T133">
        <v>4054</v>
      </c>
    </row>
    <row r="134" spans="1:20">
      <c r="A134" t="s">
        <v>70</v>
      </c>
      <c r="B134" s="2">
        <v>46202</v>
      </c>
      <c r="C134" s="3">
        <v>0.70833333333333337</v>
      </c>
      <c r="D134">
        <v>4</v>
      </c>
      <c r="E134" s="2">
        <v>46206</v>
      </c>
      <c r="F134" t="s">
        <v>72</v>
      </c>
      <c r="G134" t="s">
        <v>72</v>
      </c>
      <c r="H134" t="s">
        <v>42</v>
      </c>
      <c r="I134" t="s">
        <v>42</v>
      </c>
      <c r="J134" t="s">
        <v>55</v>
      </c>
      <c r="K134" t="s">
        <v>74</v>
      </c>
      <c r="L134" t="s">
        <v>75</v>
      </c>
      <c r="M134" s="7">
        <v>64478</v>
      </c>
      <c r="N134" s="1" t="b">
        <v>0</v>
      </c>
      <c r="O134">
        <v>1</v>
      </c>
      <c r="P134">
        <v>67</v>
      </c>
      <c r="Q134">
        <f t="shared" ref="Q134:Q135" si="35">O134+P134</f>
        <v>68</v>
      </c>
      <c r="R134">
        <v>2358</v>
      </c>
      <c r="S134">
        <v>4405</v>
      </c>
      <c r="T134">
        <v>1797</v>
      </c>
    </row>
    <row r="135" spans="1:20">
      <c r="E135" s="2"/>
      <c r="N135" s="1" t="b">
        <v>0</v>
      </c>
    </row>
    <row r="136" spans="1:20">
      <c r="A136" t="s">
        <v>51</v>
      </c>
      <c r="B136" s="2">
        <v>46203</v>
      </c>
      <c r="C136" s="3">
        <v>0.41666666666666669</v>
      </c>
      <c r="D136">
        <v>0</v>
      </c>
      <c r="E136" s="2">
        <v>46203</v>
      </c>
      <c r="F136" t="s">
        <v>52</v>
      </c>
      <c r="G136" t="s">
        <v>52</v>
      </c>
      <c r="H136" t="s">
        <v>54</v>
      </c>
      <c r="I136" t="s">
        <v>54</v>
      </c>
      <c r="J136" t="s">
        <v>55</v>
      </c>
      <c r="K136" t="s">
        <v>56</v>
      </c>
      <c r="L136" t="s">
        <v>57</v>
      </c>
      <c r="M136" s="7">
        <v>80824</v>
      </c>
      <c r="N136" s="1" t="b">
        <v>1</v>
      </c>
      <c r="O136">
        <v>14</v>
      </c>
      <c r="P136">
        <v>23</v>
      </c>
      <c r="Q136">
        <f>O136+P136</f>
        <v>37</v>
      </c>
      <c r="R136">
        <v>2369</v>
      </c>
      <c r="S136">
        <v>3641</v>
      </c>
      <c r="T136">
        <v>92</v>
      </c>
    </row>
    <row r="137" spans="1:20">
      <c r="A137" t="s">
        <v>58</v>
      </c>
      <c r="B137" s="2">
        <v>46203</v>
      </c>
      <c r="C137" s="3">
        <v>0.41666666666666669</v>
      </c>
      <c r="D137">
        <v>1</v>
      </c>
      <c r="E137" s="2">
        <v>46204</v>
      </c>
      <c r="F137" t="s">
        <v>21</v>
      </c>
      <c r="G137" t="s">
        <v>21</v>
      </c>
      <c r="H137" t="s">
        <v>60</v>
      </c>
      <c r="I137" t="s">
        <v>60</v>
      </c>
      <c r="J137" t="s">
        <v>55</v>
      </c>
      <c r="K137" t="s">
        <v>61</v>
      </c>
      <c r="L137" t="s">
        <v>62</v>
      </c>
      <c r="M137" s="7">
        <v>68827</v>
      </c>
      <c r="N137" s="1" t="b">
        <v>1</v>
      </c>
      <c r="O137">
        <v>17</v>
      </c>
      <c r="P137">
        <v>64</v>
      </c>
      <c r="Q137">
        <f t="shared" ref="Q137:Q140" si="36">O137+P137</f>
        <v>81</v>
      </c>
      <c r="R137">
        <v>1149</v>
      </c>
      <c r="S137">
        <v>2530</v>
      </c>
      <c r="T137">
        <v>2181</v>
      </c>
    </row>
    <row r="138" spans="1:20">
      <c r="A138" t="s">
        <v>63</v>
      </c>
      <c r="B138" s="2">
        <v>46203</v>
      </c>
      <c r="C138" s="3">
        <v>0.41666666666666669</v>
      </c>
      <c r="D138">
        <v>2</v>
      </c>
      <c r="E138" s="2">
        <v>46205</v>
      </c>
      <c r="F138" t="s">
        <v>65</v>
      </c>
      <c r="G138" t="s">
        <v>65</v>
      </c>
      <c r="H138" t="s">
        <v>67</v>
      </c>
      <c r="I138" t="s">
        <v>67</v>
      </c>
      <c r="J138" t="s">
        <v>55</v>
      </c>
      <c r="K138" t="s">
        <v>82</v>
      </c>
      <c r="L138" t="s">
        <v>69</v>
      </c>
      <c r="M138" s="7">
        <v>52497</v>
      </c>
      <c r="N138" s="1" t="b">
        <v>0</v>
      </c>
      <c r="O138">
        <v>19</v>
      </c>
      <c r="P138">
        <v>28</v>
      </c>
      <c r="Q138">
        <f>O138+P138</f>
        <v>47</v>
      </c>
      <c r="R138">
        <v>518</v>
      </c>
      <c r="S138">
        <v>1219</v>
      </c>
      <c r="T138">
        <v>3976</v>
      </c>
    </row>
    <row r="139" spans="1:20">
      <c r="A139" t="s">
        <v>70</v>
      </c>
      <c r="B139" s="2">
        <v>46203</v>
      </c>
      <c r="C139" s="3">
        <v>0.41666666666666669</v>
      </c>
      <c r="D139">
        <v>3</v>
      </c>
      <c r="E139" s="2">
        <v>46206</v>
      </c>
      <c r="F139" t="s">
        <v>72</v>
      </c>
      <c r="G139" t="s">
        <v>72</v>
      </c>
      <c r="H139" t="s">
        <v>42</v>
      </c>
      <c r="I139" t="s">
        <v>42</v>
      </c>
      <c r="J139" t="s">
        <v>55</v>
      </c>
      <c r="K139" t="s">
        <v>74</v>
      </c>
      <c r="L139" t="s">
        <v>75</v>
      </c>
      <c r="M139" s="7">
        <v>64478</v>
      </c>
      <c r="N139" s="1" t="b">
        <v>0</v>
      </c>
      <c r="O139">
        <v>1</v>
      </c>
      <c r="P139">
        <v>67</v>
      </c>
      <c r="Q139">
        <f t="shared" ref="Q139:Q140" si="37">O139+P139</f>
        <v>68</v>
      </c>
      <c r="R139">
        <v>3151</v>
      </c>
      <c r="S139">
        <v>5779</v>
      </c>
      <c r="T139">
        <v>1685</v>
      </c>
    </row>
    <row r="140" spans="1:20">
      <c r="A140" t="s">
        <v>76</v>
      </c>
      <c r="B140" s="2">
        <v>46203</v>
      </c>
      <c r="C140" s="3">
        <v>0.41666666666666669</v>
      </c>
      <c r="D140">
        <v>19</v>
      </c>
      <c r="E140" s="2">
        <v>46222</v>
      </c>
      <c r="F140" t="s">
        <v>77</v>
      </c>
      <c r="G140" t="s">
        <v>77</v>
      </c>
      <c r="H140" t="s">
        <v>78</v>
      </c>
      <c r="I140" t="s">
        <v>78</v>
      </c>
      <c r="J140" t="s">
        <v>79</v>
      </c>
      <c r="K140" t="s">
        <v>80</v>
      </c>
      <c r="L140" t="s">
        <v>81</v>
      </c>
      <c r="M140" s="7">
        <v>80663</v>
      </c>
      <c r="N140" s="1" t="b">
        <v>0</v>
      </c>
      <c r="Q140">
        <f t="shared" si="37"/>
        <v>0</v>
      </c>
      <c r="R140">
        <v>10925</v>
      </c>
      <c r="S140">
        <v>26968</v>
      </c>
      <c r="T140">
        <v>189</v>
      </c>
    </row>
    <row r="141" spans="1:20">
      <c r="E141" s="2"/>
    </row>
    <row r="142" spans="1:20">
      <c r="A142" t="s">
        <v>58</v>
      </c>
      <c r="B142" s="2">
        <v>46204</v>
      </c>
      <c r="C142" s="3">
        <v>0.41666666666666669</v>
      </c>
      <c r="D142">
        <v>0</v>
      </c>
      <c r="E142" s="2">
        <v>46204</v>
      </c>
      <c r="F142" t="s">
        <v>21</v>
      </c>
      <c r="G142" t="s">
        <v>21</v>
      </c>
      <c r="H142" t="s">
        <v>60</v>
      </c>
      <c r="I142" t="s">
        <v>60</v>
      </c>
      <c r="J142" t="s">
        <v>55</v>
      </c>
      <c r="K142" t="s">
        <v>61</v>
      </c>
      <c r="L142" t="s">
        <v>62</v>
      </c>
      <c r="M142" s="7">
        <v>68827</v>
      </c>
      <c r="N142" s="1" t="b">
        <v>1</v>
      </c>
      <c r="O142">
        <v>17</v>
      </c>
      <c r="P142">
        <v>64</v>
      </c>
      <c r="Q142">
        <f t="shared" ref="Q142:Q145" si="38">O142+P142</f>
        <v>81</v>
      </c>
      <c r="R142">
        <v>1380</v>
      </c>
      <c r="S142">
        <v>2760</v>
      </c>
      <c r="T142">
        <v>481</v>
      </c>
    </row>
    <row r="143" spans="1:20">
      <c r="A143" t="s">
        <v>63</v>
      </c>
      <c r="B143" s="2">
        <v>46204</v>
      </c>
      <c r="C143" s="3">
        <v>0.41666666666666669</v>
      </c>
      <c r="D143">
        <v>1</v>
      </c>
      <c r="E143" s="2">
        <v>46205</v>
      </c>
      <c r="F143" t="s">
        <v>65</v>
      </c>
      <c r="G143" t="s">
        <v>65</v>
      </c>
      <c r="H143" t="s">
        <v>67</v>
      </c>
      <c r="I143" t="s">
        <v>67</v>
      </c>
      <c r="J143" t="s">
        <v>55</v>
      </c>
      <c r="K143" t="s">
        <v>82</v>
      </c>
      <c r="L143" t="s">
        <v>69</v>
      </c>
      <c r="M143" s="7">
        <v>52497</v>
      </c>
      <c r="N143" s="1" t="b">
        <v>0</v>
      </c>
      <c r="O143">
        <v>19</v>
      </c>
      <c r="P143">
        <v>28</v>
      </c>
      <c r="Q143">
        <f>O143+P143</f>
        <v>47</v>
      </c>
      <c r="R143">
        <v>324</v>
      </c>
      <c r="S143">
        <v>742</v>
      </c>
      <c r="T143">
        <v>2823</v>
      </c>
    </row>
    <row r="144" spans="1:20">
      <c r="A144" t="s">
        <v>70</v>
      </c>
      <c r="B144" s="2">
        <v>46204</v>
      </c>
      <c r="C144" s="3">
        <v>0.41666666666666669</v>
      </c>
      <c r="D144">
        <v>2</v>
      </c>
      <c r="E144" s="2">
        <v>46206</v>
      </c>
      <c r="F144" t="s">
        <v>72</v>
      </c>
      <c r="G144" t="s">
        <v>72</v>
      </c>
      <c r="H144" t="s">
        <v>42</v>
      </c>
      <c r="I144" t="s">
        <v>42</v>
      </c>
      <c r="J144" t="s">
        <v>55</v>
      </c>
      <c r="K144" t="s">
        <v>74</v>
      </c>
      <c r="L144" t="s">
        <v>75</v>
      </c>
      <c r="M144" s="7">
        <v>64478</v>
      </c>
      <c r="N144" s="1" t="b">
        <v>0</v>
      </c>
      <c r="O144">
        <v>1</v>
      </c>
      <c r="P144">
        <v>67</v>
      </c>
      <c r="Q144">
        <f t="shared" ref="Q144:Q145" si="39">O144+P144</f>
        <v>68</v>
      </c>
      <c r="R144">
        <v>1955</v>
      </c>
      <c r="S144">
        <v>3436</v>
      </c>
      <c r="T144">
        <v>1340</v>
      </c>
    </row>
    <row r="145" spans="1:20">
      <c r="A145" t="s">
        <v>76</v>
      </c>
      <c r="B145" s="2">
        <v>46204</v>
      </c>
      <c r="C145" s="3">
        <v>0.41666666666666669</v>
      </c>
      <c r="D145">
        <v>18</v>
      </c>
      <c r="E145" s="2">
        <v>46222</v>
      </c>
      <c r="F145" t="s">
        <v>77</v>
      </c>
      <c r="G145" t="s">
        <v>77</v>
      </c>
      <c r="H145" t="s">
        <v>78</v>
      </c>
      <c r="I145" t="s">
        <v>78</v>
      </c>
      <c r="J145" t="s">
        <v>79</v>
      </c>
      <c r="K145" t="s">
        <v>80</v>
      </c>
      <c r="L145" t="s">
        <v>81</v>
      </c>
      <c r="M145" s="7">
        <v>80663</v>
      </c>
      <c r="N145" s="1" t="b">
        <v>0</v>
      </c>
      <c r="Q145">
        <f t="shared" si="39"/>
        <v>0</v>
      </c>
      <c r="R145">
        <v>9200</v>
      </c>
      <c r="S145">
        <v>25300</v>
      </c>
      <c r="T145">
        <v>483</v>
      </c>
    </row>
    <row r="147" spans="1:20">
      <c r="A147" t="s">
        <v>63</v>
      </c>
      <c r="B147" s="2">
        <v>46205</v>
      </c>
      <c r="C147" s="3">
        <v>0.41666666666666669</v>
      </c>
      <c r="D147">
        <v>0</v>
      </c>
      <c r="E147" s="2">
        <v>46205</v>
      </c>
      <c r="F147" t="s">
        <v>65</v>
      </c>
      <c r="G147" t="s">
        <v>65</v>
      </c>
      <c r="H147" t="s">
        <v>67</v>
      </c>
      <c r="I147" t="s">
        <v>67</v>
      </c>
      <c r="J147" t="s">
        <v>55</v>
      </c>
      <c r="K147" t="s">
        <v>82</v>
      </c>
      <c r="L147" t="s">
        <v>69</v>
      </c>
      <c r="M147" s="7">
        <v>52497</v>
      </c>
      <c r="N147" s="1" t="b">
        <v>0</v>
      </c>
      <c r="O147">
        <v>19</v>
      </c>
      <c r="P147">
        <v>28</v>
      </c>
      <c r="Q147">
        <f>O147+P147</f>
        <v>47</v>
      </c>
      <c r="R147">
        <v>284</v>
      </c>
      <c r="S147">
        <v>681</v>
      </c>
      <c r="T147">
        <v>1537</v>
      </c>
    </row>
    <row r="148" spans="1:20">
      <c r="A148" t="s">
        <v>70</v>
      </c>
      <c r="B148" s="2">
        <v>46205</v>
      </c>
      <c r="C148" s="3">
        <v>0.41666666666666669</v>
      </c>
      <c r="D148">
        <v>1</v>
      </c>
      <c r="E148" s="2">
        <v>46206</v>
      </c>
      <c r="F148" t="s">
        <v>72</v>
      </c>
      <c r="G148" t="s">
        <v>72</v>
      </c>
      <c r="H148" t="s">
        <v>42</v>
      </c>
      <c r="I148" t="s">
        <v>42</v>
      </c>
      <c r="J148" t="s">
        <v>55</v>
      </c>
      <c r="K148" t="s">
        <v>74</v>
      </c>
      <c r="L148" t="s">
        <v>75</v>
      </c>
      <c r="M148" s="7">
        <v>64478</v>
      </c>
      <c r="N148" s="1" t="b">
        <v>0</v>
      </c>
      <c r="O148">
        <v>1</v>
      </c>
      <c r="P148">
        <v>67</v>
      </c>
      <c r="Q148">
        <f t="shared" ref="Q148:Q149" si="40">O148+P148</f>
        <v>68</v>
      </c>
      <c r="R148">
        <v>2029</v>
      </c>
      <c r="S148">
        <v>3450</v>
      </c>
      <c r="T148">
        <v>258</v>
      </c>
    </row>
    <row r="149" spans="1:20">
      <c r="A149" t="s">
        <v>76</v>
      </c>
      <c r="B149" s="2">
        <v>46205</v>
      </c>
      <c r="C149" s="3">
        <v>0.41666666666666669</v>
      </c>
      <c r="D149">
        <v>17</v>
      </c>
      <c r="E149" s="2">
        <v>46222</v>
      </c>
      <c r="F149" t="s">
        <v>77</v>
      </c>
      <c r="G149" t="s">
        <v>77</v>
      </c>
      <c r="H149" t="s">
        <v>78</v>
      </c>
      <c r="I149" t="s">
        <v>78</v>
      </c>
      <c r="J149" t="s">
        <v>79</v>
      </c>
      <c r="K149" t="s">
        <v>80</v>
      </c>
      <c r="L149" t="s">
        <v>81</v>
      </c>
      <c r="M149" s="7">
        <v>80663</v>
      </c>
      <c r="N149" s="1" t="b">
        <v>0</v>
      </c>
      <c r="Q149">
        <f t="shared" si="40"/>
        <v>0</v>
      </c>
      <c r="R149">
        <v>17136</v>
      </c>
      <c r="S149">
        <v>35903</v>
      </c>
      <c r="T149">
        <v>485</v>
      </c>
    </row>
    <row r="151" spans="1:20">
      <c r="A151" t="s">
        <v>76</v>
      </c>
      <c r="B151" s="2">
        <v>46210</v>
      </c>
      <c r="C151" s="3">
        <v>0.66666666666666663</v>
      </c>
      <c r="D151">
        <v>12</v>
      </c>
      <c r="E151" s="2">
        <v>46222</v>
      </c>
      <c r="F151" t="s">
        <v>77</v>
      </c>
      <c r="G151" t="s">
        <v>77</v>
      </c>
      <c r="H151" t="s">
        <v>78</v>
      </c>
      <c r="I151" t="s">
        <v>78</v>
      </c>
      <c r="J151" t="s">
        <v>79</v>
      </c>
      <c r="K151" t="s">
        <v>80</v>
      </c>
      <c r="L151" t="s">
        <v>81</v>
      </c>
      <c r="M151" s="7">
        <v>80663</v>
      </c>
      <c r="N151" s="1" t="b">
        <v>0</v>
      </c>
      <c r="Q151">
        <f t="shared" ref="Q151" si="41">O151+P151</f>
        <v>0</v>
      </c>
      <c r="R151">
        <v>10350</v>
      </c>
      <c r="S151">
        <v>23000</v>
      </c>
      <c r="T151">
        <v>378</v>
      </c>
    </row>
    <row r="153" spans="1:20">
      <c r="A153" t="s">
        <v>76</v>
      </c>
      <c r="B153" s="2">
        <v>46212</v>
      </c>
      <c r="C153" s="3">
        <v>0.54166666666666663</v>
      </c>
      <c r="D153">
        <v>10</v>
      </c>
      <c r="E153" s="2">
        <v>46222</v>
      </c>
      <c r="F153" t="s">
        <v>77</v>
      </c>
      <c r="G153" t="s">
        <v>77</v>
      </c>
      <c r="H153" t="s">
        <v>78</v>
      </c>
      <c r="I153" t="s">
        <v>78</v>
      </c>
      <c r="J153" t="s">
        <v>79</v>
      </c>
      <c r="K153" t="s">
        <v>80</v>
      </c>
      <c r="L153" t="s">
        <v>81</v>
      </c>
      <c r="M153" s="7">
        <v>80663</v>
      </c>
      <c r="N153" s="1" t="b">
        <v>0</v>
      </c>
      <c r="Q153">
        <f t="shared" ref="Q153" si="42">O153+P153</f>
        <v>0</v>
      </c>
      <c r="R153">
        <v>9200</v>
      </c>
      <c r="S153">
        <v>20125</v>
      </c>
      <c r="T153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4440-A0F6-42AA-913A-289336657820}">
  <dimension ref="A1:Q15"/>
  <sheetViews>
    <sheetView workbookViewId="0">
      <pane ySplit="1" topLeftCell="A2" activePane="bottomLeft" state="frozen"/>
      <selection pane="bottomLeft" activeCell="F3" sqref="F3"/>
    </sheetView>
  </sheetViews>
  <sheetFormatPr defaultRowHeight="15"/>
  <cols>
    <col min="1" max="1" width="8.7109375" customWidth="1"/>
    <col min="2" max="2" width="11" bestFit="1" customWidth="1"/>
    <col min="3" max="3" width="21.7109375" bestFit="1" customWidth="1"/>
    <col min="4" max="4" width="10.140625" style="2" bestFit="1" customWidth="1"/>
    <col min="5" max="5" width="12.7109375" style="3" bestFit="1" customWidth="1"/>
    <col min="6" max="6" width="16.7109375" style="3" customWidth="1"/>
    <col min="7" max="7" width="28.5703125" bestFit="1" customWidth="1"/>
    <col min="8" max="8" width="12.5703125" bestFit="1" customWidth="1"/>
    <col min="10" max="10" width="9.140625" style="7"/>
    <col min="11" max="11" width="11.5703125" bestFit="1" customWidth="1"/>
    <col min="12" max="12" width="11.28515625" bestFit="1" customWidth="1"/>
    <col min="13" max="14" width="11.42578125" bestFit="1" customWidth="1"/>
    <col min="15" max="15" width="14.42578125" bestFit="1" customWidth="1"/>
    <col min="16" max="16" width="17.28515625" style="7" bestFit="1" customWidth="1"/>
    <col min="17" max="17" width="9.140625" style="6"/>
  </cols>
  <sheetData>
    <row r="1" spans="1:17">
      <c r="A1" t="s">
        <v>0</v>
      </c>
      <c r="B1" t="s">
        <v>5</v>
      </c>
      <c r="C1" t="s">
        <v>7</v>
      </c>
      <c r="D1" s="2" t="s">
        <v>85</v>
      </c>
      <c r="E1" s="3" t="s">
        <v>86</v>
      </c>
      <c r="F1" s="4" t="s">
        <v>87</v>
      </c>
      <c r="G1" t="s">
        <v>10</v>
      </c>
      <c r="H1" t="s">
        <v>11</v>
      </c>
      <c r="I1" t="s">
        <v>88</v>
      </c>
      <c r="J1" s="7" t="s">
        <v>12</v>
      </c>
      <c r="K1" t="s">
        <v>9</v>
      </c>
      <c r="L1" t="s">
        <v>13</v>
      </c>
      <c r="M1" t="s">
        <v>14</v>
      </c>
      <c r="N1" t="s">
        <v>15</v>
      </c>
      <c r="O1" t="s">
        <v>89</v>
      </c>
      <c r="P1" s="7" t="s">
        <v>90</v>
      </c>
      <c r="Q1" s="6" t="s">
        <v>91</v>
      </c>
    </row>
    <row r="2" spans="1:17">
      <c r="A2" t="s">
        <v>20</v>
      </c>
      <c r="B2" t="s">
        <v>21</v>
      </c>
      <c r="C2" t="s">
        <v>22</v>
      </c>
      <c r="D2" s="2">
        <v>46198</v>
      </c>
      <c r="E2" s="3">
        <v>0.91666666666666663</v>
      </c>
      <c r="F2" s="3">
        <v>0.79166666666666663</v>
      </c>
      <c r="G2" t="s">
        <v>24</v>
      </c>
      <c r="H2" t="s">
        <v>25</v>
      </c>
      <c r="I2" t="s">
        <v>21</v>
      </c>
      <c r="J2" s="7">
        <v>70492</v>
      </c>
      <c r="K2" t="s">
        <v>23</v>
      </c>
      <c r="L2" s="1" t="b">
        <v>1</v>
      </c>
      <c r="M2">
        <v>17</v>
      </c>
      <c r="N2">
        <v>22</v>
      </c>
      <c r="O2">
        <f>M2+N2</f>
        <v>39</v>
      </c>
      <c r="P2" s="9">
        <v>70492</v>
      </c>
      <c r="Q2" s="6">
        <f>P2/J2</f>
        <v>1</v>
      </c>
    </row>
    <row r="3" spans="1:17">
      <c r="A3" t="s">
        <v>26</v>
      </c>
      <c r="B3" t="s">
        <v>27</v>
      </c>
      <c r="C3" t="s">
        <v>28</v>
      </c>
      <c r="D3" s="2">
        <v>46198</v>
      </c>
      <c r="E3" s="3">
        <v>0.75</v>
      </c>
      <c r="F3" s="3">
        <v>0.66666666666666663</v>
      </c>
      <c r="G3" t="s">
        <v>29</v>
      </c>
      <c r="H3" t="s">
        <v>30</v>
      </c>
      <c r="I3" t="s">
        <v>21</v>
      </c>
      <c r="J3" s="7">
        <v>70649</v>
      </c>
      <c r="K3" t="s">
        <v>23</v>
      </c>
      <c r="L3" s="1" t="b">
        <v>0</v>
      </c>
      <c r="M3">
        <v>18</v>
      </c>
      <c r="N3">
        <v>38</v>
      </c>
      <c r="O3">
        <f t="shared" ref="O3:O12" si="0">M3+N3</f>
        <v>56</v>
      </c>
      <c r="P3" s="9">
        <v>70137</v>
      </c>
      <c r="Q3" s="6">
        <f t="shared" ref="Q3:Q12" si="1">P3/J3</f>
        <v>0.99275290520743398</v>
      </c>
    </row>
    <row r="4" spans="1:17">
      <c r="A4" t="s">
        <v>31</v>
      </c>
      <c r="B4" t="s">
        <v>32</v>
      </c>
      <c r="C4" t="s">
        <v>33</v>
      </c>
      <c r="D4" s="2">
        <v>46198</v>
      </c>
      <c r="E4" s="3">
        <v>0.66666666666666663</v>
      </c>
      <c r="F4" s="3">
        <v>0.54166666666666663</v>
      </c>
      <c r="G4" t="s">
        <v>34</v>
      </c>
      <c r="H4" t="s">
        <v>35</v>
      </c>
      <c r="I4" t="s">
        <v>21</v>
      </c>
      <c r="J4" s="7">
        <v>68324</v>
      </c>
      <c r="K4" t="s">
        <v>23</v>
      </c>
      <c r="L4" s="1" t="b">
        <v>0</v>
      </c>
      <c r="M4">
        <v>82</v>
      </c>
      <c r="N4">
        <v>33</v>
      </c>
      <c r="O4">
        <f t="shared" si="0"/>
        <v>115</v>
      </c>
      <c r="P4" s="9">
        <v>68324</v>
      </c>
      <c r="Q4" s="6">
        <f t="shared" si="1"/>
        <v>1</v>
      </c>
    </row>
    <row r="5" spans="1:17">
      <c r="A5" t="s">
        <v>36</v>
      </c>
      <c r="B5" t="s">
        <v>37</v>
      </c>
      <c r="C5" t="s">
        <v>38</v>
      </c>
      <c r="D5" s="2">
        <v>46199</v>
      </c>
      <c r="E5" s="3">
        <v>0.625</v>
      </c>
      <c r="F5" s="3">
        <v>0.5</v>
      </c>
      <c r="G5" t="s">
        <v>39</v>
      </c>
      <c r="H5" t="s">
        <v>40</v>
      </c>
      <c r="I5" t="s">
        <v>21</v>
      </c>
      <c r="J5" s="7">
        <v>64146</v>
      </c>
      <c r="K5" t="s">
        <v>23</v>
      </c>
      <c r="L5" s="1" t="b">
        <v>0</v>
      </c>
      <c r="M5">
        <v>3</v>
      </c>
      <c r="N5">
        <v>31</v>
      </c>
      <c r="O5">
        <f t="shared" si="0"/>
        <v>34</v>
      </c>
      <c r="P5" s="9">
        <v>64146</v>
      </c>
      <c r="Q5" s="6">
        <f t="shared" si="1"/>
        <v>1</v>
      </c>
    </row>
    <row r="6" spans="1:17">
      <c r="A6" t="s">
        <v>41</v>
      </c>
      <c r="B6" t="s">
        <v>42</v>
      </c>
      <c r="C6" t="s">
        <v>43</v>
      </c>
      <c r="D6" s="2">
        <v>46199</v>
      </c>
      <c r="E6" s="3">
        <v>0.79166666666666663</v>
      </c>
      <c r="F6" s="3">
        <v>0.70833333333333337</v>
      </c>
      <c r="G6" t="s">
        <v>44</v>
      </c>
      <c r="H6" t="s">
        <v>45</v>
      </c>
      <c r="I6" t="s">
        <v>21</v>
      </c>
      <c r="J6" s="7">
        <v>68777</v>
      </c>
      <c r="K6" t="s">
        <v>23</v>
      </c>
      <c r="L6" s="1" t="b">
        <v>0</v>
      </c>
      <c r="M6">
        <v>67</v>
      </c>
      <c r="N6">
        <v>61</v>
      </c>
      <c r="O6">
        <f t="shared" si="0"/>
        <v>128</v>
      </c>
      <c r="P6" s="9">
        <v>68278</v>
      </c>
      <c r="Q6" s="6">
        <f t="shared" si="1"/>
        <v>0.99274466754874446</v>
      </c>
    </row>
    <row r="7" spans="1:17">
      <c r="A7" t="s">
        <v>46</v>
      </c>
      <c r="B7" t="s">
        <v>47</v>
      </c>
      <c r="C7" t="s">
        <v>48</v>
      </c>
      <c r="D7" s="2">
        <v>46199</v>
      </c>
      <c r="E7" s="3">
        <v>0.75</v>
      </c>
      <c r="F7" s="3">
        <v>0.70833333333333337</v>
      </c>
      <c r="G7" t="s">
        <v>49</v>
      </c>
      <c r="H7" t="s">
        <v>50</v>
      </c>
      <c r="I7" t="s">
        <v>52</v>
      </c>
      <c r="J7" s="7">
        <v>45664</v>
      </c>
      <c r="K7" t="s">
        <v>23</v>
      </c>
      <c r="L7" s="1" t="b">
        <v>0</v>
      </c>
      <c r="M7">
        <v>2</v>
      </c>
      <c r="N7">
        <v>16</v>
      </c>
      <c r="O7">
        <f t="shared" si="0"/>
        <v>18</v>
      </c>
      <c r="P7" s="8">
        <v>45065</v>
      </c>
      <c r="Q7" s="6">
        <f t="shared" si="1"/>
        <v>0.98688244569025929</v>
      </c>
    </row>
    <row r="8" spans="1:17">
      <c r="A8" t="s">
        <v>51</v>
      </c>
      <c r="B8" t="s">
        <v>92</v>
      </c>
      <c r="C8" t="s">
        <v>54</v>
      </c>
      <c r="D8" s="2">
        <v>46203</v>
      </c>
      <c r="E8" s="3">
        <v>0.79166666666666663</v>
      </c>
      <c r="F8" s="3">
        <v>0.75</v>
      </c>
      <c r="G8" t="s">
        <v>56</v>
      </c>
      <c r="H8" t="s">
        <v>57</v>
      </c>
      <c r="I8" t="s">
        <v>52</v>
      </c>
      <c r="J8" s="7">
        <v>80824</v>
      </c>
      <c r="K8" t="s">
        <v>55</v>
      </c>
      <c r="L8" s="1" t="b">
        <v>1</v>
      </c>
      <c r="M8">
        <v>14</v>
      </c>
      <c r="N8">
        <v>23</v>
      </c>
      <c r="O8">
        <f>M8+N8</f>
        <v>37</v>
      </c>
      <c r="P8" s="12">
        <v>80824</v>
      </c>
      <c r="Q8" s="6">
        <f t="shared" si="1"/>
        <v>1</v>
      </c>
    </row>
    <row r="9" spans="1:17">
      <c r="A9" t="s">
        <v>58</v>
      </c>
      <c r="B9" t="s">
        <v>21</v>
      </c>
      <c r="C9" t="s">
        <v>60</v>
      </c>
      <c r="D9" s="2">
        <v>46204</v>
      </c>
      <c r="E9" s="3">
        <v>0.70833333333333337</v>
      </c>
      <c r="F9" s="3">
        <v>0.70833333333333337</v>
      </c>
      <c r="G9" t="s">
        <v>61</v>
      </c>
      <c r="H9" t="s">
        <v>62</v>
      </c>
      <c r="I9" t="s">
        <v>21</v>
      </c>
      <c r="J9" s="7">
        <v>68827</v>
      </c>
      <c r="K9" t="s">
        <v>55</v>
      </c>
      <c r="L9" s="1" t="b">
        <v>1</v>
      </c>
      <c r="M9">
        <v>17</v>
      </c>
      <c r="N9">
        <v>64</v>
      </c>
      <c r="O9">
        <f t="shared" si="0"/>
        <v>81</v>
      </c>
      <c r="Q9" s="6">
        <f t="shared" si="1"/>
        <v>0</v>
      </c>
    </row>
    <row r="10" spans="1:17">
      <c r="A10" t="s">
        <v>63</v>
      </c>
      <c r="B10" t="s">
        <v>65</v>
      </c>
      <c r="C10" t="s">
        <v>67</v>
      </c>
      <c r="D10" s="2">
        <v>46205</v>
      </c>
      <c r="E10" s="3">
        <v>0.83333333333333337</v>
      </c>
      <c r="F10" s="3">
        <v>0.83333333333333337</v>
      </c>
      <c r="G10" t="s">
        <v>82</v>
      </c>
      <c r="H10" t="s">
        <v>69</v>
      </c>
      <c r="I10" t="s">
        <v>93</v>
      </c>
      <c r="J10" s="7">
        <v>52497</v>
      </c>
      <c r="K10" t="s">
        <v>55</v>
      </c>
      <c r="L10" s="1" t="b">
        <v>0</v>
      </c>
      <c r="M10">
        <v>19</v>
      </c>
      <c r="N10">
        <v>28</v>
      </c>
      <c r="O10">
        <f>M10+N10</f>
        <v>47</v>
      </c>
      <c r="Q10" s="6">
        <f t="shared" si="1"/>
        <v>0</v>
      </c>
    </row>
    <row r="11" spans="1:17">
      <c r="A11" t="s">
        <v>70</v>
      </c>
      <c r="B11" t="s">
        <v>72</v>
      </c>
      <c r="C11" t="s">
        <v>94</v>
      </c>
      <c r="D11" s="2">
        <v>46206</v>
      </c>
      <c r="E11" s="3">
        <v>0.75</v>
      </c>
      <c r="F11" s="3">
        <v>0.625</v>
      </c>
      <c r="G11" t="s">
        <v>74</v>
      </c>
      <c r="H11" t="s">
        <v>75</v>
      </c>
      <c r="I11" t="s">
        <v>21</v>
      </c>
      <c r="J11" s="7">
        <v>64478</v>
      </c>
      <c r="K11" t="s">
        <v>55</v>
      </c>
      <c r="L11" s="1" t="b">
        <v>0</v>
      </c>
      <c r="M11">
        <v>1</v>
      </c>
      <c r="N11">
        <v>67</v>
      </c>
      <c r="O11">
        <f t="shared" si="0"/>
        <v>68</v>
      </c>
      <c r="Q11" s="6">
        <f t="shared" si="1"/>
        <v>0</v>
      </c>
    </row>
    <row r="12" spans="1:17">
      <c r="A12" t="s">
        <v>76</v>
      </c>
      <c r="B12" t="s">
        <v>95</v>
      </c>
      <c r="C12" t="s">
        <v>78</v>
      </c>
      <c r="D12" s="2">
        <v>46222</v>
      </c>
      <c r="E12" s="3">
        <v>0.625</v>
      </c>
      <c r="F12" s="3">
        <v>0.5</v>
      </c>
      <c r="G12" t="s">
        <v>96</v>
      </c>
      <c r="H12" t="s">
        <v>81</v>
      </c>
      <c r="I12" t="s">
        <v>21</v>
      </c>
      <c r="J12" s="7">
        <v>80663</v>
      </c>
      <c r="K12" t="s">
        <v>79</v>
      </c>
      <c r="L12" s="1" t="b">
        <v>0</v>
      </c>
      <c r="O12">
        <f t="shared" si="0"/>
        <v>0</v>
      </c>
      <c r="Q12" s="6">
        <f t="shared" si="1"/>
        <v>0</v>
      </c>
    </row>
    <row r="15" spans="1:17">
      <c r="G1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2026-06-20T22:42:40Z</dcterms:created>
  <dcterms:modified xsi:type="dcterms:W3CDTF">2026-07-09T20:25:54Z</dcterms:modified>
  <cp:category/>
  <cp:contentStatus/>
</cp:coreProperties>
</file>